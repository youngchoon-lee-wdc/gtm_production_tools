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GH_project\gtm_production_tools\CDMMacros\"/>
    </mc:Choice>
  </mc:AlternateContent>
  <xr:revisionPtr revIDLastSave="0" documentId="13_ncr:1_{4A3BCFE8-67CD-49DF-BDF9-5F4F8EC1BDCA}" xr6:coauthVersionLast="47" xr6:coauthVersionMax="47" xr10:uidLastSave="{00000000-0000-0000-0000-000000000000}"/>
  <bookViews>
    <workbookView xWindow="-28920" yWindow="-120" windowWidth="29040" windowHeight="15720" tabRatio="744" firstSheet="3" activeTab="6" xr2:uid="{00000000-000D-0000-FFFF-FFFF00000000}"/>
  </bookViews>
  <sheets>
    <sheet name="1Z_Performance" sheetId="17" state="hidden" r:id="rId1"/>
    <sheet name="1Z_Raw" sheetId="20" state="hidden" r:id="rId2"/>
    <sheet name="1Z_Reference" sheetId="23" state="hidden" r:id="rId3"/>
    <sheet name="BICS6_Performance" sheetId="27" r:id="rId4"/>
    <sheet name="BICS6_Raw" sheetId="28" r:id="rId5"/>
    <sheet name="BICS6_Reference" sheetId="29" r:id="rId6"/>
    <sheet name="CDM8 Raw" sheetId="31" r:id="rId7"/>
    <sheet name="CDM8 Ref" sheetId="32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CAP">'[1]Tools List'!$H$2:$H$7</definedName>
    <definedName name="Capacity" localSheetId="0">#REF!</definedName>
    <definedName name="Capacity" localSheetId="3">#REF!</definedName>
    <definedName name="Capacity" localSheetId="7">#REF!</definedName>
    <definedName name="Capacity">#REF!</definedName>
    <definedName name="F">'[1]Tools List'!$I$2:$I$5</definedName>
    <definedName name="fail">'[2]Tools List'!$K$2:$K$4</definedName>
    <definedName name="FF" localSheetId="0">#REF!</definedName>
    <definedName name="FF" localSheetId="3">#REF!</definedName>
    <definedName name="FF" localSheetId="7">#REF!</definedName>
    <definedName name="FF">#REF!</definedName>
    <definedName name="functiona">'[3]Tools List'!$I$2:$I$5</definedName>
    <definedName name="gg">'[3]Tools List'!$K$2:$K$4</definedName>
    <definedName name="ggg">'[4]Tools List'!$K$2:$K$4</definedName>
    <definedName name="hh">'[3]Tools List'!$J$2:$J$5</definedName>
    <definedName name="ii">'[3]Tools List'!$G$2:$G$27</definedName>
    <definedName name="k">'[5]Tools List'!$K$2:$K$4</definedName>
    <definedName name="pass">'[2]Tools List'!$K$2:$K$4</definedName>
    <definedName name="Platform">'[6]Tools List'!$G$2:$G$27</definedName>
    <definedName name="Platforms" localSheetId="0">#REF!</definedName>
    <definedName name="Platforms" localSheetId="3">#REF!</definedName>
    <definedName name="Platforms" localSheetId="7">#REF!</definedName>
    <definedName name="Platforms">#REF!</definedName>
    <definedName name="Release_Version" localSheetId="0">#REF!</definedName>
    <definedName name="Release_Version" localSheetId="3">#REF!</definedName>
    <definedName name="Release_Version" localSheetId="7">#REF!</definedName>
    <definedName name="Release_Version">#REF!</definedName>
    <definedName name="Release_Version_1" localSheetId="0">#REF!</definedName>
    <definedName name="Release_Version_1" localSheetId="3">#REF!</definedName>
    <definedName name="Release_Version_1" localSheetId="7">#REF!</definedName>
    <definedName name="Release_Version_1">#REF!</definedName>
    <definedName name="release_version_4" localSheetId="0">#REF!</definedName>
    <definedName name="release_version_4" localSheetId="3">#REF!</definedName>
    <definedName name="release_version_4" localSheetId="7">#REF!</definedName>
    <definedName name="release_version_4">#REF!</definedName>
    <definedName name="Result" localSheetId="0">#REF!</definedName>
    <definedName name="Result" localSheetId="3">#REF!</definedName>
    <definedName name="Result" localSheetId="7">#REF!</definedName>
    <definedName name="Result">#REF!</definedName>
    <definedName name="Results">'[6]Tools List'!$K$2:$K$4</definedName>
    <definedName name="rr">'[3]Tools List'!$J$2:$J$5</definedName>
    <definedName name="uu">'[7]Tools List'!$G$2:$G$27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39" i="27" l="1"/>
  <c r="E109" i="29" l="1"/>
  <c r="E108" i="29"/>
  <c r="E107" i="29"/>
  <c r="E106" i="29"/>
  <c r="E105" i="29"/>
  <c r="E108" i="28"/>
  <c r="E109" i="28"/>
  <c r="E107" i="28"/>
  <c r="E106" i="28"/>
  <c r="E105" i="28"/>
  <c r="F125" i="29"/>
  <c r="E125" i="29"/>
  <c r="D125" i="29"/>
  <c r="F124" i="29"/>
  <c r="E124" i="29"/>
  <c r="D124" i="29"/>
  <c r="F123" i="29"/>
  <c r="E123" i="29"/>
  <c r="D123" i="29"/>
  <c r="F122" i="29"/>
  <c r="E122" i="29"/>
  <c r="D122" i="29"/>
  <c r="F121" i="29"/>
  <c r="E121" i="29"/>
  <c r="D121" i="29"/>
  <c r="F120" i="29"/>
  <c r="E120" i="29"/>
  <c r="D120" i="29"/>
  <c r="F119" i="29"/>
  <c r="E119" i="29"/>
  <c r="D119" i="29"/>
  <c r="F118" i="29"/>
  <c r="E118" i="29"/>
  <c r="D118" i="29"/>
  <c r="F117" i="29"/>
  <c r="E117" i="29"/>
  <c r="D117" i="29"/>
  <c r="F116" i="29"/>
  <c r="E116" i="29"/>
  <c r="D116" i="29"/>
  <c r="F115" i="29"/>
  <c r="E115" i="29"/>
  <c r="D115" i="29"/>
  <c r="F114" i="29"/>
  <c r="E114" i="29"/>
  <c r="D114" i="29"/>
  <c r="F109" i="29"/>
  <c r="D109" i="29"/>
  <c r="F108" i="29"/>
  <c r="D108" i="29"/>
  <c r="F107" i="29"/>
  <c r="D107" i="29"/>
  <c r="F106" i="29"/>
  <c r="D106" i="29"/>
  <c r="F105" i="29"/>
  <c r="D105" i="29"/>
  <c r="F104" i="29"/>
  <c r="E104" i="29"/>
  <c r="D104" i="29"/>
  <c r="F103" i="29"/>
  <c r="E103" i="29"/>
  <c r="D103" i="29"/>
  <c r="F102" i="29"/>
  <c r="E102" i="29"/>
  <c r="D102" i="29"/>
  <c r="F101" i="29"/>
  <c r="E101" i="29"/>
  <c r="D101" i="29"/>
  <c r="F100" i="29"/>
  <c r="E100" i="29"/>
  <c r="D100" i="29"/>
  <c r="F99" i="29"/>
  <c r="E99" i="29"/>
  <c r="D99" i="29"/>
  <c r="F98" i="29"/>
  <c r="E98" i="29"/>
  <c r="D98" i="29"/>
  <c r="F93" i="29"/>
  <c r="E93" i="29"/>
  <c r="D93" i="29"/>
  <c r="F92" i="29"/>
  <c r="E92" i="29"/>
  <c r="D92" i="29"/>
  <c r="F91" i="29"/>
  <c r="E91" i="29"/>
  <c r="D91" i="29"/>
  <c r="F90" i="29"/>
  <c r="E90" i="29"/>
  <c r="D90" i="29"/>
  <c r="F89" i="29"/>
  <c r="E89" i="29"/>
  <c r="D89" i="29"/>
  <c r="F88" i="29"/>
  <c r="E88" i="29"/>
  <c r="D88" i="29"/>
  <c r="F87" i="29"/>
  <c r="E87" i="29"/>
  <c r="D87" i="29"/>
  <c r="F86" i="29"/>
  <c r="E86" i="29"/>
  <c r="D86" i="29"/>
  <c r="F85" i="29"/>
  <c r="E85" i="29"/>
  <c r="D85" i="29"/>
  <c r="F84" i="29"/>
  <c r="E84" i="29"/>
  <c r="D84" i="29"/>
  <c r="F83" i="29"/>
  <c r="E83" i="29"/>
  <c r="D83" i="29"/>
  <c r="F82" i="29"/>
  <c r="E82" i="29"/>
  <c r="D82" i="29"/>
  <c r="F77" i="29"/>
  <c r="E77" i="29"/>
  <c r="D77" i="29"/>
  <c r="F76" i="29"/>
  <c r="E76" i="29"/>
  <c r="D76" i="29"/>
  <c r="F75" i="29"/>
  <c r="E75" i="29"/>
  <c r="D75" i="29"/>
  <c r="F74" i="29"/>
  <c r="E74" i="29"/>
  <c r="D74" i="29"/>
  <c r="F73" i="29"/>
  <c r="E73" i="29"/>
  <c r="D73" i="29"/>
  <c r="F72" i="29"/>
  <c r="E72" i="29"/>
  <c r="D72" i="29"/>
  <c r="F71" i="29"/>
  <c r="E71" i="29"/>
  <c r="D71" i="29"/>
  <c r="F70" i="29"/>
  <c r="E70" i="29"/>
  <c r="D70" i="29"/>
  <c r="F69" i="29"/>
  <c r="E69" i="29"/>
  <c r="D69" i="29"/>
  <c r="F68" i="29"/>
  <c r="E68" i="29"/>
  <c r="D68" i="29"/>
  <c r="F67" i="29"/>
  <c r="E67" i="29"/>
  <c r="D67" i="29"/>
  <c r="F66" i="29"/>
  <c r="E66" i="29"/>
  <c r="D66" i="29"/>
  <c r="G105" i="29" l="1"/>
  <c r="H105" i="29"/>
  <c r="I105" i="29"/>
  <c r="H116" i="29"/>
  <c r="G116" i="29"/>
  <c r="I116" i="29"/>
  <c r="H120" i="29"/>
  <c r="G120" i="29"/>
  <c r="I120" i="29"/>
  <c r="G104" i="29"/>
  <c r="H104" i="29"/>
  <c r="I104" i="29"/>
  <c r="I115" i="29"/>
  <c r="G115" i="29"/>
  <c r="H115" i="29"/>
  <c r="I119" i="29"/>
  <c r="G119" i="29"/>
  <c r="H119" i="29"/>
  <c r="H99" i="29"/>
  <c r="G99" i="29"/>
  <c r="I99" i="29"/>
  <c r="H103" i="29"/>
  <c r="G103" i="29"/>
  <c r="I103" i="29"/>
  <c r="I106" i="29"/>
  <c r="G106" i="29"/>
  <c r="Z34" i="27" s="1"/>
  <c r="H106" i="29"/>
  <c r="Z21" i="27" s="1"/>
  <c r="G108" i="29"/>
  <c r="Z36" i="27" s="1"/>
  <c r="H108" i="29"/>
  <c r="Z23" i="27" s="1"/>
  <c r="I108" i="29"/>
  <c r="H118" i="29"/>
  <c r="I118" i="29"/>
  <c r="G118" i="29"/>
  <c r="H122" i="29"/>
  <c r="AC21" i="27" s="1"/>
  <c r="I122" i="29"/>
  <c r="G122" i="29"/>
  <c r="AC34" i="27" s="1"/>
  <c r="G101" i="29"/>
  <c r="H101" i="29"/>
  <c r="I101" i="29"/>
  <c r="H107" i="29"/>
  <c r="Z22" i="27" s="1"/>
  <c r="G107" i="29"/>
  <c r="Z35" i="27" s="1"/>
  <c r="I107" i="29"/>
  <c r="G109" i="29"/>
  <c r="Z37" i="27" s="1"/>
  <c r="H109" i="29"/>
  <c r="Z24" i="27" s="1"/>
  <c r="I109" i="29"/>
  <c r="H124" i="29"/>
  <c r="AC23" i="27" s="1"/>
  <c r="G124" i="29"/>
  <c r="AC36" i="27" s="1"/>
  <c r="I124" i="29"/>
  <c r="G100" i="29"/>
  <c r="I100" i="29"/>
  <c r="H100" i="29"/>
  <c r="I123" i="29"/>
  <c r="G123" i="29"/>
  <c r="AC35" i="27" s="1"/>
  <c r="H123" i="29"/>
  <c r="AC22" i="27" s="1"/>
  <c r="I102" i="29"/>
  <c r="G102" i="29"/>
  <c r="H102" i="29"/>
  <c r="G117" i="29"/>
  <c r="I117" i="29"/>
  <c r="H117" i="29"/>
  <c r="G121" i="29"/>
  <c r="I121" i="29"/>
  <c r="H121" i="29"/>
  <c r="G125" i="29"/>
  <c r="AC37" i="27" s="1"/>
  <c r="I125" i="29"/>
  <c r="H125" i="29"/>
  <c r="AC24" i="27" s="1"/>
  <c r="H98" i="29"/>
  <c r="Z13" i="27" s="1"/>
  <c r="J107" i="29"/>
  <c r="G93" i="29"/>
  <c r="W37" i="27" s="1"/>
  <c r="J93" i="29"/>
  <c r="J109" i="29"/>
  <c r="H93" i="29"/>
  <c r="W24" i="27" s="1"/>
  <c r="J74" i="29"/>
  <c r="G90" i="29"/>
  <c r="W34" i="27" s="1"/>
  <c r="J75" i="29"/>
  <c r="J76" i="29"/>
  <c r="J91" i="29"/>
  <c r="H77" i="29"/>
  <c r="T24" i="27" s="1"/>
  <c r="I93" i="29"/>
  <c r="J108" i="29"/>
  <c r="J122" i="29"/>
  <c r="J124" i="29"/>
  <c r="J125" i="29"/>
  <c r="J92" i="29"/>
  <c r="G91" i="29"/>
  <c r="W35" i="27" s="1"/>
  <c r="J90" i="29"/>
  <c r="J77" i="29"/>
  <c r="G77" i="29"/>
  <c r="T37" i="27" s="1"/>
  <c r="I76" i="29"/>
  <c r="I77" i="29"/>
  <c r="I75" i="29"/>
  <c r="I74" i="29"/>
  <c r="J106" i="29"/>
  <c r="J123" i="29"/>
  <c r="G92" i="29"/>
  <c r="W36" i="27" s="1"/>
  <c r="H75" i="29"/>
  <c r="T22" i="27" s="1"/>
  <c r="G76" i="29"/>
  <c r="T36" i="27" s="1"/>
  <c r="G75" i="29"/>
  <c r="T35" i="27" s="1"/>
  <c r="G74" i="29"/>
  <c r="T34" i="27" s="1"/>
  <c r="H76" i="29"/>
  <c r="T23" i="27" s="1"/>
  <c r="H74" i="29"/>
  <c r="T21" i="27" s="1"/>
  <c r="I91" i="29"/>
  <c r="I90" i="29"/>
  <c r="H92" i="29"/>
  <c r="W23" i="27" s="1"/>
  <c r="H91" i="29"/>
  <c r="W22" i="27" s="1"/>
  <c r="H90" i="29"/>
  <c r="W21" i="27" s="1"/>
  <c r="I92" i="29"/>
  <c r="D77" i="28"/>
  <c r="D76" i="28"/>
  <c r="D75" i="28"/>
  <c r="D74" i="28"/>
  <c r="D73" i="28"/>
  <c r="D72" i="28"/>
  <c r="D71" i="28"/>
  <c r="D70" i="28"/>
  <c r="D69" i="28"/>
  <c r="D68" i="28"/>
  <c r="D67" i="28"/>
  <c r="D66" i="28"/>
  <c r="F125" i="28"/>
  <c r="F124" i="28"/>
  <c r="F123" i="28"/>
  <c r="F122" i="28"/>
  <c r="F121" i="28"/>
  <c r="F120" i="28"/>
  <c r="F119" i="28"/>
  <c r="F118" i="28"/>
  <c r="F117" i="28"/>
  <c r="F116" i="28"/>
  <c r="F115" i="28"/>
  <c r="F114" i="28"/>
  <c r="E125" i="28"/>
  <c r="E124" i="28"/>
  <c r="E123" i="28"/>
  <c r="E122" i="28"/>
  <c r="E121" i="28"/>
  <c r="E120" i="28"/>
  <c r="E119" i="28"/>
  <c r="E118" i="28"/>
  <c r="E117" i="28"/>
  <c r="E116" i="28"/>
  <c r="E115" i="28"/>
  <c r="E114" i="28"/>
  <c r="D125" i="28"/>
  <c r="D124" i="28"/>
  <c r="D123" i="28"/>
  <c r="D122" i="28"/>
  <c r="D121" i="28"/>
  <c r="D120" i="28"/>
  <c r="D119" i="28"/>
  <c r="D118" i="28"/>
  <c r="D117" i="28"/>
  <c r="D115" i="28"/>
  <c r="D114" i="28"/>
  <c r="D116" i="28"/>
  <c r="F93" i="28"/>
  <c r="F92" i="28"/>
  <c r="F91" i="28"/>
  <c r="F90" i="28"/>
  <c r="F89" i="28"/>
  <c r="F88" i="28"/>
  <c r="F87" i="28"/>
  <c r="F86" i="28"/>
  <c r="F85" i="28"/>
  <c r="F84" i="28"/>
  <c r="F83" i="28"/>
  <c r="E93" i="28"/>
  <c r="E92" i="28"/>
  <c r="E91" i="28"/>
  <c r="E90" i="28"/>
  <c r="E89" i="28"/>
  <c r="E88" i="28"/>
  <c r="E87" i="28"/>
  <c r="E86" i="28"/>
  <c r="E85" i="28"/>
  <c r="E84" i="28"/>
  <c r="E83" i="28"/>
  <c r="F82" i="28"/>
  <c r="E82" i="28"/>
  <c r="D93" i="28"/>
  <c r="D92" i="28"/>
  <c r="D91" i="28"/>
  <c r="D90" i="28"/>
  <c r="D87" i="28"/>
  <c r="D86" i="28"/>
  <c r="D89" i="28"/>
  <c r="D85" i="28"/>
  <c r="D83" i="28"/>
  <c r="D88" i="28"/>
  <c r="D82" i="28"/>
  <c r="D84" i="28"/>
  <c r="F109" i="28"/>
  <c r="F108" i="28"/>
  <c r="F107" i="28"/>
  <c r="F106" i="28"/>
  <c r="F105" i="28"/>
  <c r="F104" i="28"/>
  <c r="F103" i="28"/>
  <c r="F102" i="28"/>
  <c r="F101" i="28"/>
  <c r="F100" i="28"/>
  <c r="F99" i="28"/>
  <c r="F98" i="28"/>
  <c r="E104" i="28"/>
  <c r="E103" i="28"/>
  <c r="E102" i="28"/>
  <c r="E101" i="28"/>
  <c r="E100" i="28"/>
  <c r="E99" i="28"/>
  <c r="E98" i="28"/>
  <c r="D109" i="28"/>
  <c r="D108" i="28"/>
  <c r="D107" i="28"/>
  <c r="D106" i="28"/>
  <c r="D105" i="28"/>
  <c r="D104" i="28"/>
  <c r="D103" i="28"/>
  <c r="D102" i="28"/>
  <c r="D101" i="28"/>
  <c r="D100" i="28"/>
  <c r="D99" i="28"/>
  <c r="D98" i="28"/>
  <c r="H116" i="28" l="1"/>
  <c r="G116" i="28"/>
  <c r="I116" i="28"/>
  <c r="G118" i="28"/>
  <c r="H118" i="28"/>
  <c r="I118" i="28"/>
  <c r="H124" i="28"/>
  <c r="AB23" i="27" s="1"/>
  <c r="AD23" i="27" s="1"/>
  <c r="I124" i="28"/>
  <c r="G124" i="28"/>
  <c r="AB36" i="27" s="1"/>
  <c r="G122" i="28"/>
  <c r="AB34" i="27" s="1"/>
  <c r="H122" i="28"/>
  <c r="AB21" i="27" s="1"/>
  <c r="AD21" i="27" s="1"/>
  <c r="I122" i="28"/>
  <c r="I119" i="28"/>
  <c r="G119" i="28"/>
  <c r="H119" i="28"/>
  <c r="I123" i="28"/>
  <c r="G123" i="28"/>
  <c r="AB35" i="27" s="1"/>
  <c r="H123" i="28"/>
  <c r="AB22" i="27" s="1"/>
  <c r="AD22" i="27" s="1"/>
  <c r="I115" i="28"/>
  <c r="G115" i="28"/>
  <c r="H115" i="28"/>
  <c r="H120" i="28"/>
  <c r="I120" i="28"/>
  <c r="G120" i="28"/>
  <c r="G117" i="28"/>
  <c r="H117" i="28"/>
  <c r="I117" i="28"/>
  <c r="G121" i="28"/>
  <c r="H121" i="28"/>
  <c r="I121" i="28"/>
  <c r="G125" i="28"/>
  <c r="AB37" i="27" s="1"/>
  <c r="H125" i="28"/>
  <c r="AB24" i="27" s="1"/>
  <c r="AD24" i="27" s="1"/>
  <c r="I125" i="28"/>
  <c r="H107" i="28"/>
  <c r="Y22" i="27" s="1"/>
  <c r="AA22" i="27" s="1"/>
  <c r="G107" i="28"/>
  <c r="Y35" i="27" s="1"/>
  <c r="AA35" i="27" s="1"/>
  <c r="I107" i="28"/>
  <c r="I92" i="28"/>
  <c r="G92" i="28"/>
  <c r="H92" i="28"/>
  <c r="V23" i="27" s="1"/>
  <c r="G108" i="28"/>
  <c r="Y36" i="27" s="1"/>
  <c r="AA36" i="27" s="1"/>
  <c r="H108" i="28"/>
  <c r="Y23" i="27" s="1"/>
  <c r="AA23" i="27" s="1"/>
  <c r="I108" i="28"/>
  <c r="I93" i="28"/>
  <c r="H93" i="28"/>
  <c r="V24" i="27" s="1"/>
  <c r="G93" i="28"/>
  <c r="V37" i="27" s="1"/>
  <c r="H99" i="28"/>
  <c r="Y15" i="27" s="1"/>
  <c r="I99" i="28"/>
  <c r="G99" i="28"/>
  <c r="Y28" i="27" s="1"/>
  <c r="G88" i="28"/>
  <c r="H88" i="28"/>
  <c r="V18" i="27" s="1"/>
  <c r="I88" i="28"/>
  <c r="G100" i="28"/>
  <c r="Y30" i="27" s="1"/>
  <c r="H100" i="28"/>
  <c r="Y17" i="27" s="1"/>
  <c r="I100" i="28"/>
  <c r="G101" i="28"/>
  <c r="Y32" i="27" s="1"/>
  <c r="H101" i="28"/>
  <c r="Y19" i="27" s="1"/>
  <c r="I101" i="28"/>
  <c r="G109" i="28"/>
  <c r="Y37" i="27" s="1"/>
  <c r="AA37" i="27" s="1"/>
  <c r="I109" i="28"/>
  <c r="H109" i="28"/>
  <c r="Y24" i="27" s="1"/>
  <c r="AA24" i="27" s="1"/>
  <c r="G84" i="28"/>
  <c r="I84" i="28"/>
  <c r="H84" i="28"/>
  <c r="V17" i="27" s="1"/>
  <c r="I85" i="28"/>
  <c r="H85" i="28"/>
  <c r="V19" i="27" s="1"/>
  <c r="G85" i="28"/>
  <c r="H90" i="28"/>
  <c r="V21" i="27" s="1"/>
  <c r="I90" i="28"/>
  <c r="G90" i="28"/>
  <c r="H103" i="28"/>
  <c r="Y16" i="27" s="1"/>
  <c r="I103" i="28"/>
  <c r="G103" i="28"/>
  <c r="Y29" i="27" s="1"/>
  <c r="H86" i="28"/>
  <c r="V14" i="27" s="1"/>
  <c r="I86" i="28"/>
  <c r="G86" i="28"/>
  <c r="G104" i="28"/>
  <c r="Y31" i="27" s="1"/>
  <c r="H104" i="28"/>
  <c r="Y18" i="27" s="1"/>
  <c r="I104" i="28"/>
  <c r="G83" i="28"/>
  <c r="H83" i="28"/>
  <c r="V15" i="27" s="1"/>
  <c r="I83" i="28"/>
  <c r="G87" i="28"/>
  <c r="H87" i="28"/>
  <c r="V16" i="27" s="1"/>
  <c r="I87" i="28"/>
  <c r="I105" i="28"/>
  <c r="G105" i="28"/>
  <c r="Y33" i="27" s="1"/>
  <c r="H105" i="28"/>
  <c r="Y20" i="27" s="1"/>
  <c r="I102" i="28"/>
  <c r="G102" i="28"/>
  <c r="Y27" i="27" s="1"/>
  <c r="H102" i="28"/>
  <c r="Y14" i="27" s="1"/>
  <c r="I106" i="28"/>
  <c r="H106" i="28"/>
  <c r="Y21" i="27" s="1"/>
  <c r="AA21" i="27" s="1"/>
  <c r="G106" i="28"/>
  <c r="Y34" i="27" s="1"/>
  <c r="AA34" i="27" s="1"/>
  <c r="I89" i="28"/>
  <c r="G89" i="28"/>
  <c r="H89" i="28"/>
  <c r="V20" i="27" s="1"/>
  <c r="G91" i="28"/>
  <c r="H91" i="28"/>
  <c r="V22" i="27" s="1"/>
  <c r="I91" i="28"/>
  <c r="J98" i="28"/>
  <c r="I98" i="28"/>
  <c r="J103" i="28"/>
  <c r="J100" i="28"/>
  <c r="J108" i="28"/>
  <c r="J101" i="28"/>
  <c r="J99" i="28"/>
  <c r="J107" i="28"/>
  <c r="J104" i="28"/>
  <c r="J105" i="28"/>
  <c r="J109" i="28"/>
  <c r="J102" i="28"/>
  <c r="J106" i="28"/>
  <c r="J125" i="28"/>
  <c r="J124" i="28"/>
  <c r="J123" i="28"/>
  <c r="H98" i="28"/>
  <c r="Y13" i="27" s="1"/>
  <c r="AA13" i="27" s="1"/>
  <c r="G98" i="28"/>
  <c r="Y26" i="27" s="1"/>
  <c r="J122" i="28"/>
  <c r="F77" i="28"/>
  <c r="F76" i="28"/>
  <c r="F75" i="28"/>
  <c r="F74" i="28"/>
  <c r="F73" i="28"/>
  <c r="F71" i="28"/>
  <c r="F69" i="28"/>
  <c r="F68" i="28"/>
  <c r="F67" i="28"/>
  <c r="F72" i="28"/>
  <c r="F70" i="28"/>
  <c r="F66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J77" i="28" l="1"/>
  <c r="J76" i="28"/>
  <c r="J75" i="28"/>
  <c r="J74" i="28"/>
  <c r="J91" i="28"/>
  <c r="V34" i="27"/>
  <c r="V36" i="27"/>
  <c r="X21" i="27"/>
  <c r="J93" i="28"/>
  <c r="V35" i="27"/>
  <c r="J92" i="28"/>
  <c r="J90" i="28"/>
  <c r="X24" i="27"/>
  <c r="X23" i="27"/>
  <c r="X22" i="27"/>
  <c r="I82" i="28"/>
  <c r="G82" i="28"/>
  <c r="V26" i="27" s="1"/>
  <c r="V33" i="27"/>
  <c r="G114" i="28"/>
  <c r="AB26" i="27" s="1"/>
  <c r="AB17" i="27"/>
  <c r="V32" i="27"/>
  <c r="AB32" i="27"/>
  <c r="H114" i="28"/>
  <c r="AB13" i="27" s="1"/>
  <c r="V27" i="27"/>
  <c r="AB15" i="27"/>
  <c r="J120" i="28"/>
  <c r="J121" i="28"/>
  <c r="J118" i="28"/>
  <c r="J117" i="28"/>
  <c r="J114" i="28"/>
  <c r="J88" i="28"/>
  <c r="J86" i="28"/>
  <c r="AB16" i="27"/>
  <c r="J116" i="28"/>
  <c r="J89" i="28"/>
  <c r="AB27" i="27"/>
  <c r="H82" i="28"/>
  <c r="V13" i="27" s="1"/>
  <c r="J85" i="28"/>
  <c r="AB33" i="27"/>
  <c r="AB18" i="27"/>
  <c r="AB14" i="27"/>
  <c r="J84" i="28"/>
  <c r="J82" i="28"/>
  <c r="V29" i="27"/>
  <c r="V28" i="27"/>
  <c r="V31" i="27"/>
  <c r="J87" i="28"/>
  <c r="V30" i="27"/>
  <c r="J83" i="28"/>
  <c r="AB28" i="27"/>
  <c r="AB20" i="27"/>
  <c r="AB31" i="27"/>
  <c r="J119" i="28"/>
  <c r="AB19" i="27"/>
  <c r="AB30" i="27"/>
  <c r="J115" i="28"/>
  <c r="I114" i="28"/>
  <c r="AB29" i="27"/>
  <c r="I76" i="28"/>
  <c r="I75" i="28"/>
  <c r="G77" i="28"/>
  <c r="S37" i="27" s="1"/>
  <c r="G76" i="28"/>
  <c r="S36" i="27" s="1"/>
  <c r="I74" i="28"/>
  <c r="H76" i="28"/>
  <c r="S23" i="27" s="1"/>
  <c r="U23" i="27" s="1"/>
  <c r="H77" i="28"/>
  <c r="S24" i="27" s="1"/>
  <c r="U24" i="27" s="1"/>
  <c r="I77" i="28"/>
  <c r="G75" i="28"/>
  <c r="S35" i="27" s="1"/>
  <c r="H75" i="28"/>
  <c r="S22" i="27" s="1"/>
  <c r="U22" i="27" s="1"/>
  <c r="G74" i="28"/>
  <c r="S34" i="27" s="1"/>
  <c r="H74" i="28"/>
  <c r="S21" i="27" s="1"/>
  <c r="U21" i="27" s="1"/>
  <c r="G73" i="28" l="1"/>
  <c r="S33" i="27" s="1"/>
  <c r="H73" i="28"/>
  <c r="S20" i="27" s="1"/>
  <c r="I73" i="28"/>
  <c r="J73" i="28"/>
  <c r="G67" i="28"/>
  <c r="S28" i="27" s="1"/>
  <c r="H67" i="28"/>
  <c r="S15" i="27" s="1"/>
  <c r="I67" i="28"/>
  <c r="J67" i="28"/>
  <c r="G68" i="28"/>
  <c r="S30" i="27" s="1"/>
  <c r="H68" i="28"/>
  <c r="S17" i="27" s="1"/>
  <c r="I68" i="28"/>
  <c r="J68" i="28"/>
  <c r="G69" i="28"/>
  <c r="S32" i="27" s="1"/>
  <c r="H69" i="28"/>
  <c r="S19" i="27" s="1"/>
  <c r="I69" i="28"/>
  <c r="J69" i="28"/>
  <c r="G70" i="28"/>
  <c r="S27" i="27" s="1"/>
  <c r="H70" i="28"/>
  <c r="S14" i="27" s="1"/>
  <c r="I70" i="28"/>
  <c r="J70" i="28"/>
  <c r="G71" i="28"/>
  <c r="S29" i="27" s="1"/>
  <c r="H71" i="28"/>
  <c r="S16" i="27" s="1"/>
  <c r="I71" i="28"/>
  <c r="J71" i="28"/>
  <c r="G72" i="28"/>
  <c r="S31" i="27" s="1"/>
  <c r="H72" i="28"/>
  <c r="S18" i="27" s="1"/>
  <c r="I72" i="28"/>
  <c r="J72" i="28"/>
  <c r="AA39" i="27" l="1"/>
  <c r="Z15" i="27" l="1"/>
  <c r="J99" i="29"/>
  <c r="Z30" i="27"/>
  <c r="AA30" i="27" s="1"/>
  <c r="Z17" i="27"/>
  <c r="J100" i="29"/>
  <c r="Z19" i="27"/>
  <c r="J101" i="29"/>
  <c r="Z27" i="27"/>
  <c r="Z14" i="27"/>
  <c r="J102" i="29"/>
  <c r="Z29" i="27"/>
  <c r="Z16" i="27"/>
  <c r="J103" i="29"/>
  <c r="Z31" i="27"/>
  <c r="AA31" i="27" s="1"/>
  <c r="Z18" i="27"/>
  <c r="J104" i="29"/>
  <c r="Z33" i="27"/>
  <c r="AA33" i="27" s="1"/>
  <c r="Z20" i="27"/>
  <c r="J105" i="29"/>
  <c r="G83" i="29"/>
  <c r="W28" i="27" s="1"/>
  <c r="H83" i="29"/>
  <c r="W15" i="27" s="1"/>
  <c r="I83" i="29"/>
  <c r="J83" i="29"/>
  <c r="G84" i="29"/>
  <c r="W30" i="27" s="1"/>
  <c r="X30" i="27" s="1"/>
  <c r="H84" i="29"/>
  <c r="W17" i="27" s="1"/>
  <c r="I84" i="29"/>
  <c r="J84" i="29"/>
  <c r="G85" i="29"/>
  <c r="W32" i="27" s="1"/>
  <c r="X32" i="27" s="1"/>
  <c r="H85" i="29"/>
  <c r="W19" i="27" s="1"/>
  <c r="I85" i="29"/>
  <c r="J85" i="29"/>
  <c r="G86" i="29"/>
  <c r="W27" i="27" s="1"/>
  <c r="H86" i="29"/>
  <c r="W14" i="27" s="1"/>
  <c r="I86" i="29"/>
  <c r="J86" i="29"/>
  <c r="G87" i="29"/>
  <c r="W29" i="27" s="1"/>
  <c r="H87" i="29"/>
  <c r="W16" i="27" s="1"/>
  <c r="I87" i="29"/>
  <c r="J87" i="29"/>
  <c r="G88" i="29"/>
  <c r="W31" i="27" s="1"/>
  <c r="X31" i="27" s="1"/>
  <c r="H88" i="29"/>
  <c r="W18" i="27" s="1"/>
  <c r="I88" i="29"/>
  <c r="J88" i="29"/>
  <c r="G67" i="29"/>
  <c r="H67" i="29"/>
  <c r="T15" i="27" s="1"/>
  <c r="I67" i="29"/>
  <c r="J67" i="29"/>
  <c r="G68" i="29"/>
  <c r="H68" i="29"/>
  <c r="T17" i="27" s="1"/>
  <c r="I68" i="29"/>
  <c r="J68" i="29"/>
  <c r="G69" i="29"/>
  <c r="H69" i="29"/>
  <c r="T19" i="27" s="1"/>
  <c r="I69" i="29"/>
  <c r="J69" i="29"/>
  <c r="G70" i="29"/>
  <c r="H70" i="29"/>
  <c r="T14" i="27" s="1"/>
  <c r="I70" i="29"/>
  <c r="J70" i="29"/>
  <c r="G71" i="29"/>
  <c r="H71" i="29"/>
  <c r="T16" i="27" s="1"/>
  <c r="I71" i="29"/>
  <c r="J71" i="29"/>
  <c r="G72" i="29"/>
  <c r="H72" i="29"/>
  <c r="T18" i="27" s="1"/>
  <c r="I72" i="29"/>
  <c r="J72" i="29"/>
  <c r="G73" i="29"/>
  <c r="H73" i="29"/>
  <c r="T20" i="27" s="1"/>
  <c r="I73" i="29"/>
  <c r="J73" i="29"/>
  <c r="U37" i="27" l="1"/>
  <c r="T33" i="27"/>
  <c r="U33" i="27" s="1"/>
  <c r="U35" i="27"/>
  <c r="T29" i="27"/>
  <c r="U29" i="27" s="1"/>
  <c r="T32" i="27"/>
  <c r="U32" i="27" s="1"/>
  <c r="T28" i="27"/>
  <c r="U28" i="27" s="1"/>
  <c r="U36" i="27"/>
  <c r="T31" i="27"/>
  <c r="U31" i="27" s="1"/>
  <c r="U34" i="27"/>
  <c r="T27" i="27"/>
  <c r="U27" i="27" s="1"/>
  <c r="T30" i="27"/>
  <c r="U30" i="27" s="1"/>
  <c r="AA29" i="27"/>
  <c r="Z32" i="27"/>
  <c r="AA32" i="27" s="1"/>
  <c r="AA27" i="27"/>
  <c r="Z28" i="27"/>
  <c r="AA28" i="27" s="1"/>
  <c r="X34" i="27"/>
  <c r="X36" i="27"/>
  <c r="X28" i="27"/>
  <c r="X35" i="27"/>
  <c r="X29" i="27"/>
  <c r="X27" i="27"/>
  <c r="AA20" i="27"/>
  <c r="AA15" i="27"/>
  <c r="AA19" i="27"/>
  <c r="AA18" i="27"/>
  <c r="AA17" i="27"/>
  <c r="AA16" i="27"/>
  <c r="AA14" i="27"/>
  <c r="X39" i="27"/>
  <c r="G89" i="29" l="1"/>
  <c r="H89" i="29"/>
  <c r="W20" i="27" s="1"/>
  <c r="I89" i="29"/>
  <c r="J89" i="29"/>
  <c r="X37" i="27" l="1"/>
  <c r="W33" i="27"/>
  <c r="X33" i="27" s="1"/>
  <c r="X14" i="27"/>
  <c r="X15" i="27"/>
  <c r="X16" i="27"/>
  <c r="X17" i="27"/>
  <c r="X18" i="27"/>
  <c r="X19" i="27"/>
  <c r="X20" i="27"/>
  <c r="U39" i="27" l="1"/>
  <c r="G55" i="28" l="1"/>
  <c r="G56" i="28"/>
  <c r="G57" i="28"/>
  <c r="G58" i="28"/>
  <c r="G59" i="28"/>
  <c r="G60" i="28"/>
  <c r="G61" i="28"/>
  <c r="G54" i="28"/>
  <c r="G43" i="28"/>
  <c r="G44" i="28"/>
  <c r="G45" i="28"/>
  <c r="G46" i="28"/>
  <c r="G47" i="28"/>
  <c r="G48" i="28"/>
  <c r="G49" i="28"/>
  <c r="G42" i="28"/>
  <c r="J66" i="29" l="1"/>
  <c r="I66" i="29"/>
  <c r="H66" i="29"/>
  <c r="T13" i="27" s="1"/>
  <c r="G66" i="29"/>
  <c r="T26" i="27" s="1"/>
  <c r="G55" i="29"/>
  <c r="H55" i="29"/>
  <c r="AL14" i="27" s="1"/>
  <c r="I55" i="29"/>
  <c r="J55" i="29"/>
  <c r="G56" i="29"/>
  <c r="H56" i="29"/>
  <c r="AL15" i="27" s="1"/>
  <c r="I56" i="29"/>
  <c r="J56" i="29"/>
  <c r="G57" i="29"/>
  <c r="H57" i="29"/>
  <c r="AL16" i="27" s="1"/>
  <c r="I57" i="29"/>
  <c r="J57" i="29"/>
  <c r="G58" i="29"/>
  <c r="H58" i="29"/>
  <c r="AL17" i="27" s="1"/>
  <c r="I58" i="29"/>
  <c r="J58" i="29"/>
  <c r="G59" i="29"/>
  <c r="H59" i="29"/>
  <c r="AL18" i="27" s="1"/>
  <c r="I59" i="29"/>
  <c r="J59" i="29"/>
  <c r="G60" i="29"/>
  <c r="H60" i="29"/>
  <c r="AL19" i="27" s="1"/>
  <c r="I60" i="29"/>
  <c r="J60" i="29"/>
  <c r="G61" i="29"/>
  <c r="H61" i="29"/>
  <c r="AL20" i="27" s="1"/>
  <c r="I61" i="29"/>
  <c r="J61" i="29"/>
  <c r="J54" i="29"/>
  <c r="I54" i="29"/>
  <c r="H54" i="29"/>
  <c r="AL13" i="27" s="1"/>
  <c r="G54" i="29"/>
  <c r="G43" i="29"/>
  <c r="H43" i="29"/>
  <c r="AI14" i="27" s="1"/>
  <c r="I43" i="29"/>
  <c r="J43" i="29"/>
  <c r="G44" i="29"/>
  <c r="H44" i="29"/>
  <c r="AI15" i="27" s="1"/>
  <c r="I44" i="29"/>
  <c r="J44" i="29"/>
  <c r="G45" i="29"/>
  <c r="H45" i="29"/>
  <c r="AI16" i="27" s="1"/>
  <c r="I45" i="29"/>
  <c r="J45" i="29"/>
  <c r="G46" i="29"/>
  <c r="H46" i="29"/>
  <c r="AI17" i="27" s="1"/>
  <c r="I46" i="29"/>
  <c r="J46" i="29"/>
  <c r="G47" i="29"/>
  <c r="H47" i="29"/>
  <c r="AI18" i="27" s="1"/>
  <c r="I47" i="29"/>
  <c r="J47" i="29"/>
  <c r="G48" i="29"/>
  <c r="H48" i="29"/>
  <c r="AI19" i="27" s="1"/>
  <c r="I48" i="29"/>
  <c r="J48" i="29"/>
  <c r="G49" i="29"/>
  <c r="H49" i="29"/>
  <c r="AI20" i="27" s="1"/>
  <c r="I49" i="29"/>
  <c r="J49" i="29"/>
  <c r="J42" i="29"/>
  <c r="I42" i="29"/>
  <c r="H42" i="29"/>
  <c r="AI13" i="27" s="1"/>
  <c r="G42" i="29"/>
  <c r="G31" i="29"/>
  <c r="H31" i="29"/>
  <c r="AR14" i="27" s="1"/>
  <c r="I31" i="29"/>
  <c r="J31" i="29"/>
  <c r="G32" i="29"/>
  <c r="H32" i="29"/>
  <c r="AR15" i="27" s="1"/>
  <c r="I32" i="29"/>
  <c r="J32" i="29"/>
  <c r="G33" i="29"/>
  <c r="H33" i="29"/>
  <c r="AR16" i="27" s="1"/>
  <c r="I33" i="29"/>
  <c r="J33" i="29"/>
  <c r="G34" i="29"/>
  <c r="H34" i="29"/>
  <c r="AR17" i="27" s="1"/>
  <c r="I34" i="29"/>
  <c r="J34" i="29"/>
  <c r="G35" i="29"/>
  <c r="H35" i="29"/>
  <c r="AR18" i="27" s="1"/>
  <c r="I35" i="29"/>
  <c r="J35" i="29"/>
  <c r="G36" i="29"/>
  <c r="H36" i="29"/>
  <c r="AR19" i="27" s="1"/>
  <c r="I36" i="29"/>
  <c r="J36" i="29"/>
  <c r="G37" i="29"/>
  <c r="H37" i="29"/>
  <c r="AR20" i="27" s="1"/>
  <c r="I37" i="29"/>
  <c r="J37" i="29"/>
  <c r="J30" i="29"/>
  <c r="I30" i="29"/>
  <c r="H30" i="29"/>
  <c r="AR13" i="27" s="1"/>
  <c r="G30" i="29"/>
  <c r="G19" i="29"/>
  <c r="H19" i="29"/>
  <c r="AO14" i="27" s="1"/>
  <c r="I19" i="29"/>
  <c r="J19" i="29"/>
  <c r="G20" i="29"/>
  <c r="H20" i="29"/>
  <c r="AO15" i="27" s="1"/>
  <c r="I20" i="29"/>
  <c r="J20" i="29"/>
  <c r="G21" i="29"/>
  <c r="H21" i="29"/>
  <c r="AO16" i="27" s="1"/>
  <c r="I21" i="29"/>
  <c r="J21" i="29"/>
  <c r="G22" i="29"/>
  <c r="H22" i="29"/>
  <c r="AO17" i="27" s="1"/>
  <c r="I22" i="29"/>
  <c r="J22" i="29"/>
  <c r="G23" i="29"/>
  <c r="H23" i="29"/>
  <c r="AO18" i="27" s="1"/>
  <c r="I23" i="29"/>
  <c r="J23" i="29"/>
  <c r="G24" i="29"/>
  <c r="H24" i="29"/>
  <c r="AO19" i="27" s="1"/>
  <c r="I24" i="29"/>
  <c r="J24" i="29"/>
  <c r="G25" i="29"/>
  <c r="H25" i="29"/>
  <c r="AO20" i="27" s="1"/>
  <c r="I25" i="29"/>
  <c r="J25" i="29"/>
  <c r="J18" i="29"/>
  <c r="I18" i="29"/>
  <c r="H18" i="29"/>
  <c r="AO13" i="27" s="1"/>
  <c r="G18" i="29"/>
  <c r="J7" i="29"/>
  <c r="J8" i="29"/>
  <c r="J9" i="29"/>
  <c r="J10" i="29"/>
  <c r="J11" i="29"/>
  <c r="J12" i="29"/>
  <c r="J13" i="29"/>
  <c r="J6" i="29"/>
  <c r="I7" i="29"/>
  <c r="I8" i="29"/>
  <c r="I9" i="29"/>
  <c r="I10" i="29"/>
  <c r="I11" i="29"/>
  <c r="I12" i="29"/>
  <c r="I13" i="29"/>
  <c r="I6" i="29"/>
  <c r="H7" i="29"/>
  <c r="AU14" i="27" s="1"/>
  <c r="H8" i="29"/>
  <c r="AU15" i="27" s="1"/>
  <c r="H9" i="29"/>
  <c r="AU16" i="27" s="1"/>
  <c r="H10" i="29"/>
  <c r="AU17" i="27" s="1"/>
  <c r="H11" i="29"/>
  <c r="AU18" i="27" s="1"/>
  <c r="H12" i="29"/>
  <c r="AU19" i="27" s="1"/>
  <c r="H13" i="29"/>
  <c r="AU20" i="27" s="1"/>
  <c r="H6" i="29"/>
  <c r="AU13" i="27" s="1"/>
  <c r="G7" i="29"/>
  <c r="G8" i="29"/>
  <c r="G9" i="29"/>
  <c r="G10" i="29"/>
  <c r="G11" i="29"/>
  <c r="G12" i="29"/>
  <c r="G13" i="29"/>
  <c r="G6" i="29"/>
  <c r="D227" i="29" l="1"/>
  <c r="J230" i="29" l="1"/>
  <c r="J231" i="29"/>
  <c r="J232" i="29"/>
  <c r="J233" i="29"/>
  <c r="J234" i="29"/>
  <c r="J235" i="29"/>
  <c r="J236" i="29"/>
  <c r="I230" i="29"/>
  <c r="I231" i="29"/>
  <c r="I232" i="29"/>
  <c r="I233" i="29"/>
  <c r="I234" i="29"/>
  <c r="I235" i="29"/>
  <c r="I236" i="29"/>
  <c r="H230" i="29"/>
  <c r="H231" i="29"/>
  <c r="H232" i="29"/>
  <c r="H233" i="29"/>
  <c r="H234" i="29"/>
  <c r="H235" i="29"/>
  <c r="H236" i="29"/>
  <c r="G230" i="29"/>
  <c r="G231" i="29"/>
  <c r="G232" i="29"/>
  <c r="G233" i="29"/>
  <c r="G234" i="29"/>
  <c r="G235" i="29"/>
  <c r="G236" i="29"/>
  <c r="J229" i="29"/>
  <c r="I229" i="29"/>
  <c r="H229" i="29"/>
  <c r="G229" i="29"/>
  <c r="K12" i="27" l="1"/>
  <c r="L12" i="27" s="1"/>
  <c r="J250" i="28"/>
  <c r="I250" i="28"/>
  <c r="H250" i="28"/>
  <c r="G250" i="28"/>
  <c r="J249" i="28"/>
  <c r="I249" i="28"/>
  <c r="H249" i="28"/>
  <c r="G249" i="28"/>
  <c r="J248" i="28"/>
  <c r="I248" i="28"/>
  <c r="H248" i="28"/>
  <c r="G248" i="28"/>
  <c r="J247" i="28"/>
  <c r="I247" i="28"/>
  <c r="H247" i="28"/>
  <c r="G247" i="28"/>
  <c r="J246" i="28"/>
  <c r="I246" i="28"/>
  <c r="H246" i="28"/>
  <c r="M16" i="27" s="1"/>
  <c r="G246" i="28"/>
  <c r="J245" i="28"/>
  <c r="I245" i="28"/>
  <c r="H245" i="28"/>
  <c r="M15" i="27" s="1"/>
  <c r="G245" i="28"/>
  <c r="J244" i="28"/>
  <c r="I244" i="28"/>
  <c r="H244" i="28"/>
  <c r="M14" i="27" s="1"/>
  <c r="G244" i="28"/>
  <c r="J243" i="28"/>
  <c r="I243" i="28"/>
  <c r="H243" i="28"/>
  <c r="M13" i="27" s="1"/>
  <c r="G243" i="28"/>
  <c r="J238" i="28"/>
  <c r="I238" i="28"/>
  <c r="H238" i="28"/>
  <c r="G238" i="28"/>
  <c r="J237" i="28"/>
  <c r="I237" i="28"/>
  <c r="H237" i="28"/>
  <c r="G237" i="28"/>
  <c r="J236" i="28"/>
  <c r="I236" i="28"/>
  <c r="H236" i="28"/>
  <c r="G236" i="28"/>
  <c r="J235" i="28"/>
  <c r="I235" i="28"/>
  <c r="H235" i="28"/>
  <c r="G235" i="28"/>
  <c r="J234" i="28"/>
  <c r="I234" i="28"/>
  <c r="H234" i="28"/>
  <c r="J16" i="27" s="1"/>
  <c r="G234" i="28"/>
  <c r="J233" i="28"/>
  <c r="I233" i="28"/>
  <c r="H233" i="28"/>
  <c r="J15" i="27" s="1"/>
  <c r="G233" i="28"/>
  <c r="J232" i="28"/>
  <c r="I232" i="28"/>
  <c r="H232" i="28"/>
  <c r="J14" i="27" s="1"/>
  <c r="G232" i="28"/>
  <c r="J231" i="28"/>
  <c r="I231" i="28"/>
  <c r="H231" i="28"/>
  <c r="J13" i="27" s="1"/>
  <c r="G231" i="28"/>
  <c r="M11" i="27"/>
  <c r="J11" i="27"/>
  <c r="N11" i="27"/>
  <c r="K11" i="27"/>
  <c r="J224" i="29" l="1"/>
  <c r="I224" i="29"/>
  <c r="H224" i="29"/>
  <c r="G224" i="29"/>
  <c r="J223" i="29"/>
  <c r="I223" i="29"/>
  <c r="H223" i="29"/>
  <c r="G223" i="29"/>
  <c r="J222" i="29"/>
  <c r="I222" i="29"/>
  <c r="H222" i="29"/>
  <c r="G222" i="29"/>
  <c r="J221" i="29"/>
  <c r="I221" i="29"/>
  <c r="H221" i="29"/>
  <c r="G221" i="29"/>
  <c r="J220" i="29"/>
  <c r="I220" i="29"/>
  <c r="H220" i="29"/>
  <c r="G220" i="29"/>
  <c r="J219" i="29"/>
  <c r="I219" i="29"/>
  <c r="H219" i="29"/>
  <c r="G219" i="29"/>
  <c r="J218" i="29"/>
  <c r="I218" i="29"/>
  <c r="H218" i="29"/>
  <c r="G218" i="29"/>
  <c r="J217" i="29"/>
  <c r="I217" i="29"/>
  <c r="H217" i="29"/>
  <c r="G217" i="29"/>
  <c r="J226" i="28"/>
  <c r="I226" i="28"/>
  <c r="H226" i="28"/>
  <c r="G226" i="28"/>
  <c r="J225" i="28"/>
  <c r="I225" i="28"/>
  <c r="H225" i="28"/>
  <c r="G225" i="28"/>
  <c r="J224" i="28"/>
  <c r="I224" i="28"/>
  <c r="H224" i="28"/>
  <c r="G224" i="28"/>
  <c r="J223" i="28"/>
  <c r="I223" i="28"/>
  <c r="H223" i="28"/>
  <c r="G223" i="28"/>
  <c r="J222" i="28"/>
  <c r="I222" i="28"/>
  <c r="H222" i="28"/>
  <c r="G222" i="28"/>
  <c r="J221" i="28"/>
  <c r="I221" i="28"/>
  <c r="H221" i="28"/>
  <c r="G221" i="28"/>
  <c r="J220" i="28"/>
  <c r="I220" i="28"/>
  <c r="H220" i="28"/>
  <c r="G220" i="28"/>
  <c r="J219" i="28"/>
  <c r="I219" i="28"/>
  <c r="H219" i="28"/>
  <c r="G219" i="28"/>
  <c r="J214" i="28"/>
  <c r="I214" i="28"/>
  <c r="H214" i="28"/>
  <c r="G214" i="28"/>
  <c r="J213" i="28"/>
  <c r="I213" i="28"/>
  <c r="H213" i="28"/>
  <c r="G213" i="28"/>
  <c r="J212" i="28"/>
  <c r="I212" i="28"/>
  <c r="H212" i="28"/>
  <c r="G212" i="28"/>
  <c r="J211" i="28"/>
  <c r="I211" i="28"/>
  <c r="H211" i="28"/>
  <c r="G211" i="28"/>
  <c r="J210" i="28"/>
  <c r="I210" i="28"/>
  <c r="H210" i="28"/>
  <c r="G210" i="28"/>
  <c r="J209" i="28"/>
  <c r="I209" i="28"/>
  <c r="H209" i="28"/>
  <c r="G209" i="28"/>
  <c r="J208" i="28"/>
  <c r="I208" i="28"/>
  <c r="H208" i="28"/>
  <c r="G208" i="28"/>
  <c r="J207" i="28"/>
  <c r="I207" i="28"/>
  <c r="H207" i="28"/>
  <c r="G207" i="28"/>
  <c r="D215" i="29" l="1"/>
  <c r="AO12" i="27" l="1"/>
  <c r="G12" i="27"/>
  <c r="J12" i="27" l="1"/>
  <c r="M12" i="27" l="1"/>
  <c r="AN12" i="27"/>
  <c r="G192" i="28" l="1"/>
  <c r="H192" i="28"/>
  <c r="P13" i="27" s="1"/>
  <c r="I192" i="28"/>
  <c r="J192" i="28"/>
  <c r="G193" i="28"/>
  <c r="H193" i="28"/>
  <c r="P14" i="27" s="1"/>
  <c r="I193" i="28"/>
  <c r="J193" i="28"/>
  <c r="G194" i="28"/>
  <c r="H194" i="28"/>
  <c r="P15" i="27" s="1"/>
  <c r="I194" i="28"/>
  <c r="J194" i="28"/>
  <c r="G195" i="28"/>
  <c r="H195" i="28"/>
  <c r="P16" i="27" s="1"/>
  <c r="I195" i="28"/>
  <c r="J195" i="28"/>
  <c r="G196" i="28"/>
  <c r="H196" i="28"/>
  <c r="I196" i="28"/>
  <c r="J196" i="28"/>
  <c r="G197" i="28"/>
  <c r="H197" i="28"/>
  <c r="I197" i="28"/>
  <c r="J197" i="28"/>
  <c r="G198" i="28"/>
  <c r="H198" i="28"/>
  <c r="I198" i="28"/>
  <c r="J198" i="28"/>
  <c r="G199" i="28"/>
  <c r="H199" i="28"/>
  <c r="I199" i="28"/>
  <c r="J199" i="28"/>
  <c r="G30" i="28" l="1"/>
  <c r="H30" i="28"/>
  <c r="AQ13" i="27" s="1"/>
  <c r="I30" i="28"/>
  <c r="J30" i="28"/>
  <c r="G31" i="28"/>
  <c r="H31" i="28"/>
  <c r="AQ14" i="27" s="1"/>
  <c r="I31" i="28"/>
  <c r="J31" i="28"/>
  <c r="G32" i="28"/>
  <c r="H32" i="28"/>
  <c r="I32" i="28"/>
  <c r="J32" i="28"/>
  <c r="G33" i="28"/>
  <c r="H33" i="28"/>
  <c r="AQ16" i="27" s="1"/>
  <c r="I33" i="28"/>
  <c r="J33" i="28"/>
  <c r="G34" i="28"/>
  <c r="H34" i="28"/>
  <c r="AQ17" i="27" s="1"/>
  <c r="I34" i="28"/>
  <c r="J34" i="28"/>
  <c r="G35" i="28"/>
  <c r="H35" i="28"/>
  <c r="AQ18" i="27" s="1"/>
  <c r="I35" i="28"/>
  <c r="J35" i="28"/>
  <c r="G36" i="28"/>
  <c r="H36" i="28"/>
  <c r="AQ19" i="27" s="1"/>
  <c r="I36" i="28"/>
  <c r="J36" i="28"/>
  <c r="G37" i="28"/>
  <c r="H37" i="28"/>
  <c r="AQ20" i="27" s="1"/>
  <c r="I37" i="28"/>
  <c r="J37" i="28"/>
  <c r="H42" i="28"/>
  <c r="AH13" i="27" s="1"/>
  <c r="I42" i="28"/>
  <c r="J42" i="28"/>
  <c r="H43" i="28"/>
  <c r="AH14" i="27" s="1"/>
  <c r="I43" i="28"/>
  <c r="J43" i="28"/>
  <c r="H44" i="28"/>
  <c r="AH15" i="27" s="1"/>
  <c r="I44" i="28"/>
  <c r="J44" i="28"/>
  <c r="H45" i="28"/>
  <c r="AH16" i="27" s="1"/>
  <c r="I45" i="28"/>
  <c r="J45" i="28"/>
  <c r="H46" i="28"/>
  <c r="AH17" i="27" s="1"/>
  <c r="I46" i="28"/>
  <c r="J46" i="28"/>
  <c r="H47" i="28"/>
  <c r="AH18" i="27" s="1"/>
  <c r="I47" i="28"/>
  <c r="J47" i="28"/>
  <c r="H48" i="28"/>
  <c r="AH19" i="27" s="1"/>
  <c r="I48" i="28"/>
  <c r="J48" i="28"/>
  <c r="H49" i="28"/>
  <c r="AH20" i="27" s="1"/>
  <c r="I49" i="28"/>
  <c r="J49" i="28"/>
  <c r="H54" i="28"/>
  <c r="AK13" i="27" s="1"/>
  <c r="I54" i="28"/>
  <c r="J54" i="28"/>
  <c r="H55" i="28"/>
  <c r="AK14" i="27" s="1"/>
  <c r="I55" i="28"/>
  <c r="J55" i="28"/>
  <c r="H56" i="28"/>
  <c r="AK15" i="27" s="1"/>
  <c r="I56" i="28"/>
  <c r="J56" i="28"/>
  <c r="H57" i="28"/>
  <c r="AK16" i="27" s="1"/>
  <c r="I57" i="28"/>
  <c r="J57" i="28"/>
  <c r="H58" i="28"/>
  <c r="AK17" i="27" s="1"/>
  <c r="I58" i="28"/>
  <c r="J58" i="28"/>
  <c r="H59" i="28"/>
  <c r="AK18" i="27" s="1"/>
  <c r="I59" i="28"/>
  <c r="J59" i="28"/>
  <c r="H60" i="28"/>
  <c r="AK19" i="27" s="1"/>
  <c r="I60" i="28"/>
  <c r="J60" i="28"/>
  <c r="H61" i="28"/>
  <c r="AK20" i="27" s="1"/>
  <c r="I61" i="28"/>
  <c r="J61" i="28"/>
  <c r="G66" i="28"/>
  <c r="H66" i="28"/>
  <c r="S13" i="27" s="1"/>
  <c r="I66" i="28"/>
  <c r="J66" i="28"/>
  <c r="S26" i="27" l="1"/>
  <c r="U26" i="27" s="1"/>
  <c r="G15" i="27"/>
  <c r="AQ15" i="27"/>
  <c r="AU12" i="27"/>
  <c r="AI12" i="27"/>
  <c r="AK12" i="27"/>
  <c r="AH12" i="27"/>
  <c r="AU11" i="27"/>
  <c r="AR11" i="27"/>
  <c r="AO11" i="27"/>
  <c r="AL11" i="27"/>
  <c r="AI11" i="27"/>
  <c r="AT11" i="27"/>
  <c r="AQ11" i="27"/>
  <c r="AN11" i="27"/>
  <c r="AK11" i="27"/>
  <c r="AH11" i="27"/>
  <c r="H11" i="27" l="1"/>
  <c r="D166" i="28" l="1"/>
  <c r="D178" i="28"/>
  <c r="J212" i="29" l="1"/>
  <c r="I212" i="29"/>
  <c r="H212" i="29"/>
  <c r="G212" i="29"/>
  <c r="J211" i="29"/>
  <c r="I211" i="29"/>
  <c r="H211" i="29"/>
  <c r="G211" i="29"/>
  <c r="J210" i="29"/>
  <c r="I210" i="29"/>
  <c r="H210" i="29"/>
  <c r="G210" i="29"/>
  <c r="J209" i="29"/>
  <c r="I209" i="29"/>
  <c r="H209" i="29"/>
  <c r="G209" i="29"/>
  <c r="J208" i="29"/>
  <c r="I208" i="29"/>
  <c r="H208" i="29"/>
  <c r="G208" i="29"/>
  <c r="J207" i="29"/>
  <c r="I207" i="29"/>
  <c r="H207" i="29"/>
  <c r="G207" i="29"/>
  <c r="J206" i="29"/>
  <c r="I206" i="29"/>
  <c r="H206" i="29"/>
  <c r="G206" i="29"/>
  <c r="J205" i="29"/>
  <c r="I205" i="29"/>
  <c r="H205" i="29"/>
  <c r="G205" i="29"/>
  <c r="AL12" i="27"/>
  <c r="Q13" i="27" l="1"/>
  <c r="Q14" i="27"/>
  <c r="Q15" i="27"/>
  <c r="Q16" i="27"/>
  <c r="AT12" i="27"/>
  <c r="AV12" i="27"/>
  <c r="D203" i="29" l="1"/>
  <c r="AQ12" i="27" l="1"/>
  <c r="AR12" i="27"/>
  <c r="D190" i="29" s="1"/>
  <c r="H12" i="27"/>
  <c r="N12" i="27" s="1"/>
  <c r="O12" i="27" s="1"/>
  <c r="J163" i="28" l="1"/>
  <c r="I163" i="28"/>
  <c r="H163" i="28"/>
  <c r="G163" i="28"/>
  <c r="J162" i="28"/>
  <c r="I162" i="28"/>
  <c r="H162" i="28"/>
  <c r="G162" i="28"/>
  <c r="J161" i="28"/>
  <c r="I161" i="28"/>
  <c r="H161" i="28"/>
  <c r="G161" i="28"/>
  <c r="J160" i="28"/>
  <c r="I160" i="28"/>
  <c r="H160" i="28"/>
  <c r="G160" i="28"/>
  <c r="J159" i="28"/>
  <c r="I159" i="28"/>
  <c r="H159" i="28"/>
  <c r="G159" i="28"/>
  <c r="J158" i="28"/>
  <c r="I158" i="28"/>
  <c r="H158" i="28"/>
  <c r="G158" i="28"/>
  <c r="J157" i="28"/>
  <c r="I157" i="28"/>
  <c r="H157" i="28"/>
  <c r="G157" i="28"/>
  <c r="J156" i="28"/>
  <c r="I156" i="28"/>
  <c r="H156" i="28"/>
  <c r="G156" i="28"/>
  <c r="J186" i="29"/>
  <c r="I186" i="29"/>
  <c r="H186" i="29"/>
  <c r="G186" i="29"/>
  <c r="J185" i="29"/>
  <c r="I185" i="29"/>
  <c r="H185" i="29"/>
  <c r="G185" i="29"/>
  <c r="J184" i="29"/>
  <c r="I184" i="29"/>
  <c r="H184" i="29"/>
  <c r="G184" i="29"/>
  <c r="J183" i="29"/>
  <c r="I183" i="29"/>
  <c r="H183" i="29"/>
  <c r="G183" i="29"/>
  <c r="J182" i="29"/>
  <c r="I182" i="29"/>
  <c r="H182" i="29"/>
  <c r="G182" i="29"/>
  <c r="J181" i="29"/>
  <c r="I181" i="29"/>
  <c r="H181" i="29"/>
  <c r="G181" i="29"/>
  <c r="J180" i="29"/>
  <c r="I180" i="29"/>
  <c r="H180" i="29"/>
  <c r="G180" i="29"/>
  <c r="J179" i="29"/>
  <c r="I179" i="29"/>
  <c r="H179" i="29"/>
  <c r="G179" i="29"/>
  <c r="J82" i="29"/>
  <c r="I82" i="29"/>
  <c r="H82" i="29"/>
  <c r="W13" i="27" s="1"/>
  <c r="G82" i="29"/>
  <c r="G20" i="27"/>
  <c r="I20" i="27" s="1"/>
  <c r="G19" i="27"/>
  <c r="I19" i="27" s="1"/>
  <c r="G18" i="27"/>
  <c r="I18" i="27" s="1"/>
  <c r="G17" i="27"/>
  <c r="I17" i="27" s="1"/>
  <c r="G16" i="27"/>
  <c r="G14" i="27"/>
  <c r="G13" i="27"/>
  <c r="J25" i="28"/>
  <c r="I25" i="28"/>
  <c r="H25" i="28"/>
  <c r="AN20" i="27" s="1"/>
  <c r="AP20" i="27" s="1"/>
  <c r="G25" i="28"/>
  <c r="J24" i="28"/>
  <c r="I24" i="28"/>
  <c r="H24" i="28"/>
  <c r="AN19" i="27" s="1"/>
  <c r="AP19" i="27" s="1"/>
  <c r="G24" i="28"/>
  <c r="J23" i="28"/>
  <c r="I23" i="28"/>
  <c r="H23" i="28"/>
  <c r="AN18" i="27" s="1"/>
  <c r="AP18" i="27" s="1"/>
  <c r="G23" i="28"/>
  <c r="J22" i="28"/>
  <c r="I22" i="28"/>
  <c r="H22" i="28"/>
  <c r="AN17" i="27" s="1"/>
  <c r="AP17" i="27" s="1"/>
  <c r="G22" i="28"/>
  <c r="J21" i="28"/>
  <c r="I21" i="28"/>
  <c r="H21" i="28"/>
  <c r="G21" i="28"/>
  <c r="J20" i="28"/>
  <c r="I20" i="28"/>
  <c r="H20" i="28"/>
  <c r="G20" i="28"/>
  <c r="J19" i="28"/>
  <c r="I19" i="28"/>
  <c r="H19" i="28"/>
  <c r="G19" i="28"/>
  <c r="J18" i="28"/>
  <c r="I18" i="28"/>
  <c r="H18" i="28"/>
  <c r="G18" i="28"/>
  <c r="J187" i="28"/>
  <c r="I187" i="28"/>
  <c r="H187" i="28"/>
  <c r="G187" i="28"/>
  <c r="J186" i="28"/>
  <c r="I186" i="28"/>
  <c r="H186" i="28"/>
  <c r="G186" i="28"/>
  <c r="J185" i="28"/>
  <c r="I185" i="28"/>
  <c r="H185" i="28"/>
  <c r="G185" i="28"/>
  <c r="J184" i="28"/>
  <c r="I184" i="28"/>
  <c r="H184" i="28"/>
  <c r="G184" i="28"/>
  <c r="J183" i="28"/>
  <c r="I183" i="28"/>
  <c r="H183" i="28"/>
  <c r="G183" i="28"/>
  <c r="J182" i="28"/>
  <c r="I182" i="28"/>
  <c r="H182" i="28"/>
  <c r="G182" i="28"/>
  <c r="J181" i="28"/>
  <c r="I181" i="28"/>
  <c r="H181" i="28"/>
  <c r="G181" i="28"/>
  <c r="J180" i="28"/>
  <c r="I180" i="28"/>
  <c r="H180" i="28"/>
  <c r="G180" i="28"/>
  <c r="J175" i="28"/>
  <c r="I175" i="28"/>
  <c r="H175" i="28"/>
  <c r="AJ20" i="27" s="1"/>
  <c r="G175" i="28"/>
  <c r="J174" i="28"/>
  <c r="I174" i="28"/>
  <c r="H174" i="28"/>
  <c r="AJ19" i="27" s="1"/>
  <c r="G174" i="28"/>
  <c r="J173" i="28"/>
  <c r="I173" i="28"/>
  <c r="H173" i="28"/>
  <c r="AJ18" i="27" s="1"/>
  <c r="G173" i="28"/>
  <c r="J172" i="28"/>
  <c r="I172" i="28"/>
  <c r="H172" i="28"/>
  <c r="AJ17" i="27" s="1"/>
  <c r="G172" i="28"/>
  <c r="J171" i="28"/>
  <c r="I171" i="28"/>
  <c r="H171" i="28"/>
  <c r="G171" i="28"/>
  <c r="J170" i="28"/>
  <c r="I170" i="28"/>
  <c r="H170" i="28"/>
  <c r="G170" i="28"/>
  <c r="J169" i="28"/>
  <c r="I169" i="28"/>
  <c r="H169" i="28"/>
  <c r="G169" i="28"/>
  <c r="J168" i="28"/>
  <c r="I168" i="28"/>
  <c r="H168" i="28"/>
  <c r="G168" i="28"/>
  <c r="J121" i="29"/>
  <c r="AC20" i="27"/>
  <c r="J120" i="29"/>
  <c r="AC18" i="27"/>
  <c r="J119" i="29"/>
  <c r="AC16" i="27"/>
  <c r="J118" i="29"/>
  <c r="AC14" i="27"/>
  <c r="J117" i="29"/>
  <c r="AC19" i="27"/>
  <c r="J116" i="29"/>
  <c r="AC17" i="27"/>
  <c r="J115" i="29"/>
  <c r="AC15" i="27"/>
  <c r="J114" i="29"/>
  <c r="I114" i="29"/>
  <c r="H114" i="29"/>
  <c r="AC13" i="27" s="1"/>
  <c r="G114" i="29"/>
  <c r="J98" i="29"/>
  <c r="I98" i="29"/>
  <c r="G98" i="29"/>
  <c r="Z26" i="27" s="1"/>
  <c r="J150" i="29"/>
  <c r="I150" i="29"/>
  <c r="H150" i="29"/>
  <c r="G150" i="29"/>
  <c r="J149" i="29"/>
  <c r="I149" i="29"/>
  <c r="H149" i="29"/>
  <c r="G149" i="29"/>
  <c r="J148" i="29"/>
  <c r="I148" i="29"/>
  <c r="H148" i="29"/>
  <c r="G148" i="29"/>
  <c r="J147" i="29"/>
  <c r="I147" i="29"/>
  <c r="H147" i="29"/>
  <c r="G147" i="29"/>
  <c r="J146" i="29"/>
  <c r="I146" i="29"/>
  <c r="H146" i="29"/>
  <c r="H16" i="27" s="1"/>
  <c r="N16" i="27" s="1"/>
  <c r="O16" i="27" s="1"/>
  <c r="G146" i="29"/>
  <c r="J145" i="29"/>
  <c r="I145" i="29"/>
  <c r="H145" i="29"/>
  <c r="H15" i="27" s="1"/>
  <c r="N15" i="27" s="1"/>
  <c r="O15" i="27" s="1"/>
  <c r="G145" i="29"/>
  <c r="J144" i="29"/>
  <c r="I144" i="29"/>
  <c r="H144" i="29"/>
  <c r="H14" i="27" s="1"/>
  <c r="N14" i="27" s="1"/>
  <c r="O14" i="27" s="1"/>
  <c r="G144" i="29"/>
  <c r="J143" i="29"/>
  <c r="I143" i="29"/>
  <c r="H143" i="29"/>
  <c r="H13" i="27" s="1"/>
  <c r="N13" i="27" s="1"/>
  <c r="O13" i="27" s="1"/>
  <c r="G143" i="29"/>
  <c r="J137" i="29"/>
  <c r="I137" i="29"/>
  <c r="H137" i="29"/>
  <c r="G137" i="29"/>
  <c r="J136" i="29"/>
  <c r="I136" i="29"/>
  <c r="H136" i="29"/>
  <c r="G136" i="29"/>
  <c r="J135" i="29"/>
  <c r="I135" i="29"/>
  <c r="H135" i="29"/>
  <c r="G135" i="29"/>
  <c r="J134" i="29"/>
  <c r="I134" i="29"/>
  <c r="H134" i="29"/>
  <c r="G134" i="29"/>
  <c r="J133" i="29"/>
  <c r="I133" i="29"/>
  <c r="H133" i="29"/>
  <c r="E16" i="27" s="1"/>
  <c r="K16" i="27" s="1"/>
  <c r="L16" i="27" s="1"/>
  <c r="G133" i="29"/>
  <c r="J132" i="29"/>
  <c r="I132" i="29"/>
  <c r="H132" i="29"/>
  <c r="E15" i="27" s="1"/>
  <c r="K15" i="27" s="1"/>
  <c r="L15" i="27" s="1"/>
  <c r="G132" i="29"/>
  <c r="J131" i="29"/>
  <c r="I131" i="29"/>
  <c r="H131" i="29"/>
  <c r="E14" i="27" s="1"/>
  <c r="K14" i="27" s="1"/>
  <c r="L14" i="27" s="1"/>
  <c r="G131" i="29"/>
  <c r="J130" i="29"/>
  <c r="I130" i="29"/>
  <c r="H130" i="29"/>
  <c r="E13" i="27" s="1"/>
  <c r="K13" i="27" s="1"/>
  <c r="L13" i="27" s="1"/>
  <c r="G130" i="29"/>
  <c r="J174" i="29"/>
  <c r="I174" i="29"/>
  <c r="H174" i="29"/>
  <c r="AS20" i="27" s="1"/>
  <c r="G174" i="29"/>
  <c r="J173" i="29"/>
  <c r="I173" i="29"/>
  <c r="H173" i="29"/>
  <c r="AS19" i="27" s="1"/>
  <c r="G173" i="29"/>
  <c r="J172" i="29"/>
  <c r="I172" i="29"/>
  <c r="H172" i="29"/>
  <c r="AS18" i="27" s="1"/>
  <c r="G172" i="29"/>
  <c r="J171" i="29"/>
  <c r="I171" i="29"/>
  <c r="H171" i="29"/>
  <c r="AS17" i="27" s="1"/>
  <c r="G171" i="29"/>
  <c r="J170" i="29"/>
  <c r="I170" i="29"/>
  <c r="H170" i="29"/>
  <c r="G170" i="29"/>
  <c r="J169" i="29"/>
  <c r="I169" i="29"/>
  <c r="H169" i="29"/>
  <c r="G169" i="29"/>
  <c r="J168" i="29"/>
  <c r="I168" i="29"/>
  <c r="H168" i="29"/>
  <c r="G168" i="29"/>
  <c r="J167" i="29"/>
  <c r="I167" i="29"/>
  <c r="H167" i="29"/>
  <c r="G167" i="29"/>
  <c r="J162" i="29"/>
  <c r="I162" i="29"/>
  <c r="H162" i="29"/>
  <c r="G162" i="29"/>
  <c r="J161" i="29"/>
  <c r="I161" i="29"/>
  <c r="H161" i="29"/>
  <c r="G161" i="29"/>
  <c r="J160" i="29"/>
  <c r="I160" i="29"/>
  <c r="H160" i="29"/>
  <c r="G160" i="29"/>
  <c r="J159" i="29"/>
  <c r="I159" i="29"/>
  <c r="H159" i="29"/>
  <c r="G159" i="29"/>
  <c r="J158" i="29"/>
  <c r="I158" i="29"/>
  <c r="H158" i="29"/>
  <c r="G158" i="29"/>
  <c r="J157" i="29"/>
  <c r="I157" i="29"/>
  <c r="H157" i="29"/>
  <c r="G157" i="29"/>
  <c r="J156" i="29"/>
  <c r="I156" i="29"/>
  <c r="H156" i="29"/>
  <c r="G156" i="29"/>
  <c r="J155" i="29"/>
  <c r="I155" i="29"/>
  <c r="H155" i="29"/>
  <c r="G155" i="29"/>
  <c r="J199" i="29"/>
  <c r="I199" i="29"/>
  <c r="H199" i="29"/>
  <c r="G199" i="29"/>
  <c r="J198" i="29"/>
  <c r="I198" i="29"/>
  <c r="H198" i="29"/>
  <c r="G198" i="29"/>
  <c r="J197" i="29"/>
  <c r="I197" i="29"/>
  <c r="H197" i="29"/>
  <c r="G197" i="29"/>
  <c r="J196" i="29"/>
  <c r="I196" i="29"/>
  <c r="H196" i="29"/>
  <c r="G196" i="29"/>
  <c r="J195" i="29"/>
  <c r="I195" i="29"/>
  <c r="H195" i="29"/>
  <c r="G195" i="29"/>
  <c r="J194" i="29"/>
  <c r="I194" i="29"/>
  <c r="H194" i="29"/>
  <c r="G194" i="29"/>
  <c r="J193" i="29"/>
  <c r="I193" i="29"/>
  <c r="H193" i="29"/>
  <c r="G193" i="29"/>
  <c r="J192" i="29"/>
  <c r="I192" i="29"/>
  <c r="H192" i="29"/>
  <c r="G192" i="29"/>
  <c r="J150" i="28"/>
  <c r="I150" i="28"/>
  <c r="H150" i="28"/>
  <c r="G150" i="28"/>
  <c r="J149" i="28"/>
  <c r="I149" i="28"/>
  <c r="H149" i="28"/>
  <c r="G149" i="28"/>
  <c r="J148" i="28"/>
  <c r="I148" i="28"/>
  <c r="H148" i="28"/>
  <c r="G148" i="28"/>
  <c r="J147" i="28"/>
  <c r="I147" i="28"/>
  <c r="H147" i="28"/>
  <c r="G147" i="28"/>
  <c r="J146" i="28"/>
  <c r="I146" i="28"/>
  <c r="H146" i="28"/>
  <c r="G146" i="28"/>
  <c r="J145" i="28"/>
  <c r="I145" i="28"/>
  <c r="H145" i="28"/>
  <c r="G145" i="28"/>
  <c r="J144" i="28"/>
  <c r="I144" i="28"/>
  <c r="H144" i="28"/>
  <c r="G144" i="28"/>
  <c r="J143" i="28"/>
  <c r="I143" i="28"/>
  <c r="H143" i="28"/>
  <c r="G143" i="28"/>
  <c r="J138" i="28"/>
  <c r="I138" i="28"/>
  <c r="H138" i="28"/>
  <c r="G138" i="28"/>
  <c r="J137" i="28"/>
  <c r="I137" i="28"/>
  <c r="H137" i="28"/>
  <c r="G137" i="28"/>
  <c r="J136" i="28"/>
  <c r="I136" i="28"/>
  <c r="H136" i="28"/>
  <c r="G136" i="28"/>
  <c r="J135" i="28"/>
  <c r="I135" i="28"/>
  <c r="H135" i="28"/>
  <c r="G135" i="28"/>
  <c r="J134" i="28"/>
  <c r="I134" i="28"/>
  <c r="H134" i="28"/>
  <c r="G134" i="28"/>
  <c r="J133" i="28"/>
  <c r="I133" i="28"/>
  <c r="H133" i="28"/>
  <c r="G133" i="28"/>
  <c r="J132" i="28"/>
  <c r="I132" i="28"/>
  <c r="H132" i="28"/>
  <c r="G132" i="28"/>
  <c r="J131" i="28"/>
  <c r="I131" i="28"/>
  <c r="H131" i="28"/>
  <c r="G131" i="28"/>
  <c r="D177" i="29"/>
  <c r="I12" i="27"/>
  <c r="D153" i="29"/>
  <c r="R12" i="27"/>
  <c r="G11" i="27"/>
  <c r="F12" i="27"/>
  <c r="AP12" i="27"/>
  <c r="AS12" i="27"/>
  <c r="D17" i="27"/>
  <c r="F17" i="27" s="1"/>
  <c r="D18" i="27"/>
  <c r="F18" i="27" s="1"/>
  <c r="D19" i="27"/>
  <c r="F19" i="27" s="1"/>
  <c r="D20" i="27"/>
  <c r="F20" i="27" s="1"/>
  <c r="AJ12" i="27"/>
  <c r="D80" i="29"/>
  <c r="D165" i="29"/>
  <c r="AM12" i="27"/>
  <c r="D154" i="28"/>
  <c r="D128" i="29"/>
  <c r="J109" i="20"/>
  <c r="I109" i="20"/>
  <c r="H109" i="20"/>
  <c r="AB20" i="17" s="1"/>
  <c r="G109" i="20"/>
  <c r="J108" i="20"/>
  <c r="I108" i="20"/>
  <c r="H108" i="20"/>
  <c r="AB19" i="17" s="1"/>
  <c r="G108" i="20"/>
  <c r="J107" i="20"/>
  <c r="I107" i="20"/>
  <c r="H107" i="20"/>
  <c r="AB18" i="17" s="1"/>
  <c r="G107" i="20"/>
  <c r="J106" i="20"/>
  <c r="I106" i="20"/>
  <c r="H106" i="20"/>
  <c r="AB17" i="17" s="1"/>
  <c r="G106" i="20"/>
  <c r="J105" i="20"/>
  <c r="I105" i="20"/>
  <c r="H105" i="20"/>
  <c r="AB16" i="17" s="1"/>
  <c r="G105" i="20"/>
  <c r="J104" i="20"/>
  <c r="I104" i="20"/>
  <c r="H104" i="20"/>
  <c r="AB15" i="17" s="1"/>
  <c r="G104" i="20"/>
  <c r="J103" i="20"/>
  <c r="I103" i="20"/>
  <c r="H103" i="20"/>
  <c r="AB14" i="17" s="1"/>
  <c r="G103" i="20"/>
  <c r="J102" i="20"/>
  <c r="I102" i="20"/>
  <c r="H102" i="20"/>
  <c r="AB13" i="17" s="1"/>
  <c r="G102" i="20"/>
  <c r="G93" i="20"/>
  <c r="J97" i="20"/>
  <c r="I97" i="20"/>
  <c r="H97" i="20"/>
  <c r="Y20" i="17" s="1"/>
  <c r="G97" i="20"/>
  <c r="J96" i="20"/>
  <c r="I96" i="20"/>
  <c r="H96" i="20"/>
  <c r="G96" i="20"/>
  <c r="J95" i="20"/>
  <c r="I95" i="20"/>
  <c r="H95" i="20"/>
  <c r="Y18" i="17" s="1"/>
  <c r="G95" i="20"/>
  <c r="J94" i="20"/>
  <c r="I94" i="20"/>
  <c r="H94" i="20"/>
  <c r="Y17" i="17" s="1"/>
  <c r="G94" i="20"/>
  <c r="J93" i="20"/>
  <c r="I93" i="20"/>
  <c r="H93" i="20"/>
  <c r="Y16" i="17" s="1"/>
  <c r="J92" i="20"/>
  <c r="I92" i="20"/>
  <c r="H92" i="20"/>
  <c r="Y15" i="17" s="1"/>
  <c r="G92" i="20"/>
  <c r="J91" i="20"/>
  <c r="I91" i="20"/>
  <c r="H91" i="20"/>
  <c r="Y14" i="17" s="1"/>
  <c r="G91" i="20"/>
  <c r="J90" i="20"/>
  <c r="I90" i="20"/>
  <c r="H90" i="20"/>
  <c r="Y13" i="17" s="1"/>
  <c r="G90" i="20"/>
  <c r="J109" i="23"/>
  <c r="I109" i="23"/>
  <c r="H109" i="23"/>
  <c r="AC20" i="17" s="1"/>
  <c r="G109" i="23"/>
  <c r="J108" i="23"/>
  <c r="I108" i="23"/>
  <c r="H108" i="23"/>
  <c r="G108" i="23"/>
  <c r="J107" i="23"/>
  <c r="I107" i="23"/>
  <c r="H107" i="23"/>
  <c r="AC18" i="17" s="1"/>
  <c r="G107" i="23"/>
  <c r="J106" i="23"/>
  <c r="I106" i="23"/>
  <c r="H106" i="23"/>
  <c r="AC17" i="17" s="1"/>
  <c r="G106" i="23"/>
  <c r="J105" i="23"/>
  <c r="I105" i="23"/>
  <c r="H105" i="23"/>
  <c r="AC16" i="17" s="1"/>
  <c r="G105" i="23"/>
  <c r="J104" i="23"/>
  <c r="I104" i="23"/>
  <c r="H104" i="23"/>
  <c r="AC15" i="17" s="1"/>
  <c r="G104" i="23"/>
  <c r="J103" i="23"/>
  <c r="I103" i="23"/>
  <c r="H103" i="23"/>
  <c r="AC14" i="17" s="1"/>
  <c r="G103" i="23"/>
  <c r="J102" i="23"/>
  <c r="I102" i="23"/>
  <c r="H102" i="23"/>
  <c r="AC13" i="17" s="1"/>
  <c r="G102" i="23"/>
  <c r="J97" i="23"/>
  <c r="I97" i="23"/>
  <c r="H97" i="23"/>
  <c r="Z20" i="17" s="1"/>
  <c r="G97" i="23"/>
  <c r="J96" i="23"/>
  <c r="I96" i="23"/>
  <c r="H96" i="23"/>
  <c r="Z19" i="17" s="1"/>
  <c r="G96" i="23"/>
  <c r="J95" i="23"/>
  <c r="I95" i="23"/>
  <c r="H95" i="23"/>
  <c r="Z18" i="17" s="1"/>
  <c r="G95" i="23"/>
  <c r="J94" i="23"/>
  <c r="I94" i="23"/>
  <c r="H94" i="23"/>
  <c r="Z17" i="17" s="1"/>
  <c r="G94" i="23"/>
  <c r="J93" i="23"/>
  <c r="I93" i="23"/>
  <c r="H93" i="23"/>
  <c r="Z16" i="17" s="1"/>
  <c r="G93" i="23"/>
  <c r="J92" i="23"/>
  <c r="I92" i="23"/>
  <c r="H92" i="23"/>
  <c r="Z15" i="17" s="1"/>
  <c r="G92" i="23"/>
  <c r="J91" i="23"/>
  <c r="I91" i="23"/>
  <c r="H91" i="23"/>
  <c r="Z14" i="17" s="1"/>
  <c r="G91" i="23"/>
  <c r="J90" i="23"/>
  <c r="I90" i="23"/>
  <c r="H90" i="23"/>
  <c r="Z13" i="17" s="1"/>
  <c r="G90" i="23"/>
  <c r="AC11" i="17"/>
  <c r="AB11" i="17"/>
  <c r="AB12" i="17"/>
  <c r="D100" i="20" s="1"/>
  <c r="W14" i="17"/>
  <c r="W15" i="17"/>
  <c r="W16" i="17"/>
  <c r="W13" i="17"/>
  <c r="T14" i="17"/>
  <c r="T15" i="17"/>
  <c r="T16" i="17"/>
  <c r="T17" i="17"/>
  <c r="T18" i="17"/>
  <c r="T19" i="17"/>
  <c r="T20" i="17"/>
  <c r="T13" i="17"/>
  <c r="D4" i="29"/>
  <c r="D16" i="29"/>
  <c r="D28" i="29"/>
  <c r="D40" i="29"/>
  <c r="D52" i="29"/>
  <c r="D64" i="29"/>
  <c r="J13" i="28"/>
  <c r="I13" i="28"/>
  <c r="H13" i="28"/>
  <c r="AT20" i="27" s="1"/>
  <c r="AV20" i="27" s="1"/>
  <c r="G13" i="28"/>
  <c r="J12" i="28"/>
  <c r="I12" i="28"/>
  <c r="H12" i="28"/>
  <c r="AT19" i="27" s="1"/>
  <c r="AV19" i="27" s="1"/>
  <c r="G12" i="28"/>
  <c r="J11" i="28"/>
  <c r="I11" i="28"/>
  <c r="H11" i="28"/>
  <c r="AT18" i="27" s="1"/>
  <c r="AV18" i="27" s="1"/>
  <c r="G11" i="28"/>
  <c r="J10" i="28"/>
  <c r="I10" i="28"/>
  <c r="H10" i="28"/>
  <c r="AT17" i="27" s="1"/>
  <c r="AV17" i="27" s="1"/>
  <c r="G10" i="28"/>
  <c r="J9" i="28"/>
  <c r="I9" i="28"/>
  <c r="H9" i="28"/>
  <c r="AT16" i="27" s="1"/>
  <c r="AV16" i="27" s="1"/>
  <c r="G9" i="28"/>
  <c r="J8" i="28"/>
  <c r="I8" i="28"/>
  <c r="H8" i="28"/>
  <c r="AT15" i="27" s="1"/>
  <c r="AV15" i="27" s="1"/>
  <c r="G8" i="28"/>
  <c r="J7" i="28"/>
  <c r="I7" i="28"/>
  <c r="H7" i="28"/>
  <c r="AT14" i="27" s="1"/>
  <c r="AV14" i="27" s="1"/>
  <c r="G7" i="28"/>
  <c r="J6" i="28"/>
  <c r="I6" i="28"/>
  <c r="H6" i="28"/>
  <c r="AT13" i="27" s="1"/>
  <c r="AV13" i="27" s="1"/>
  <c r="G6" i="28"/>
  <c r="AC19" i="17"/>
  <c r="D100" i="23"/>
  <c r="X12" i="17"/>
  <c r="U12" i="17"/>
  <c r="L12" i="17"/>
  <c r="I12" i="17"/>
  <c r="F12" i="17"/>
  <c r="O12" i="17"/>
  <c r="R12" i="17"/>
  <c r="AD12" i="17"/>
  <c r="AA12" i="17"/>
  <c r="D112" i="23"/>
  <c r="D88" i="23"/>
  <c r="D76" i="23"/>
  <c r="D64" i="23"/>
  <c r="D52" i="23"/>
  <c r="D40" i="23"/>
  <c r="D28" i="23"/>
  <c r="D16" i="23"/>
  <c r="D4" i="23"/>
  <c r="J133" i="20"/>
  <c r="I133" i="20"/>
  <c r="H133" i="20"/>
  <c r="G133" i="20"/>
  <c r="J132" i="20"/>
  <c r="I132" i="20"/>
  <c r="H132" i="20"/>
  <c r="G132" i="20"/>
  <c r="J131" i="20"/>
  <c r="I131" i="20"/>
  <c r="H131" i="20"/>
  <c r="G131" i="20"/>
  <c r="J130" i="20"/>
  <c r="I130" i="20"/>
  <c r="H130" i="20"/>
  <c r="G130" i="20"/>
  <c r="J129" i="20"/>
  <c r="I129" i="20"/>
  <c r="H129" i="20"/>
  <c r="G129" i="20"/>
  <c r="J128" i="20"/>
  <c r="I128" i="20"/>
  <c r="H128" i="20"/>
  <c r="G128" i="20"/>
  <c r="J127" i="20"/>
  <c r="I127" i="20"/>
  <c r="H127" i="20"/>
  <c r="G127" i="20"/>
  <c r="J126" i="20"/>
  <c r="I126" i="20"/>
  <c r="H126" i="20"/>
  <c r="G126" i="20"/>
  <c r="D124" i="20"/>
  <c r="J121" i="20"/>
  <c r="I121" i="20"/>
  <c r="H121" i="20"/>
  <c r="G121" i="20"/>
  <c r="J120" i="20"/>
  <c r="I120" i="20"/>
  <c r="H120" i="20"/>
  <c r="G120" i="20"/>
  <c r="J117" i="20"/>
  <c r="I117" i="20"/>
  <c r="H117" i="20"/>
  <c r="G117" i="20"/>
  <c r="J116" i="20"/>
  <c r="I116" i="20"/>
  <c r="H116" i="20"/>
  <c r="G116" i="20"/>
  <c r="D112" i="20"/>
  <c r="J119" i="20"/>
  <c r="I119" i="20"/>
  <c r="H119" i="20"/>
  <c r="G119" i="20"/>
  <c r="J118" i="20"/>
  <c r="I118" i="20"/>
  <c r="H118" i="20"/>
  <c r="G118" i="20"/>
  <c r="J115" i="20"/>
  <c r="I115" i="20"/>
  <c r="H115" i="20"/>
  <c r="G115" i="20"/>
  <c r="J114" i="20"/>
  <c r="I114" i="20"/>
  <c r="H114" i="20"/>
  <c r="G114" i="20"/>
  <c r="D88" i="20"/>
  <c r="Y19" i="17"/>
  <c r="D76" i="20"/>
  <c r="D64" i="20"/>
  <c r="D28" i="20"/>
  <c r="D4" i="20"/>
  <c r="D52" i="20"/>
  <c r="D40" i="20"/>
  <c r="D16" i="20"/>
  <c r="J85" i="20"/>
  <c r="I85" i="20"/>
  <c r="H85" i="20"/>
  <c r="V20" i="17" s="1"/>
  <c r="X20" i="17" s="1"/>
  <c r="G85" i="20"/>
  <c r="J84" i="20"/>
  <c r="I84" i="20"/>
  <c r="H84" i="20"/>
  <c r="V19" i="17" s="1"/>
  <c r="X19" i="17" s="1"/>
  <c r="G84" i="20"/>
  <c r="J83" i="20"/>
  <c r="I83" i="20"/>
  <c r="H83" i="20"/>
  <c r="V18" i="17" s="1"/>
  <c r="X18" i="17" s="1"/>
  <c r="G83" i="20"/>
  <c r="J82" i="20"/>
  <c r="I82" i="20"/>
  <c r="H82" i="20"/>
  <c r="V17" i="17" s="1"/>
  <c r="X17" i="17" s="1"/>
  <c r="G82" i="20"/>
  <c r="J81" i="20"/>
  <c r="I81" i="20"/>
  <c r="H81" i="20"/>
  <c r="V16" i="17" s="1"/>
  <c r="X16" i="17" s="1"/>
  <c r="G81" i="20"/>
  <c r="J80" i="20"/>
  <c r="I80" i="20"/>
  <c r="H80" i="20"/>
  <c r="V15" i="17" s="1"/>
  <c r="G80" i="20"/>
  <c r="J79" i="20"/>
  <c r="I79" i="20"/>
  <c r="H79" i="20"/>
  <c r="V14" i="17" s="1"/>
  <c r="G79" i="20"/>
  <c r="J78" i="20"/>
  <c r="I78" i="20"/>
  <c r="H78" i="20"/>
  <c r="V13" i="17" s="1"/>
  <c r="G78" i="20"/>
  <c r="J73" i="20"/>
  <c r="I73" i="20"/>
  <c r="H73" i="20"/>
  <c r="S20" i="17" s="1"/>
  <c r="U20" i="17" s="1"/>
  <c r="G73" i="20"/>
  <c r="J72" i="20"/>
  <c r="I72" i="20"/>
  <c r="H72" i="20"/>
  <c r="S19" i="17" s="1"/>
  <c r="G72" i="20"/>
  <c r="J71" i="20"/>
  <c r="I71" i="20"/>
  <c r="H71" i="20"/>
  <c r="S18" i="17" s="1"/>
  <c r="G71" i="20"/>
  <c r="J70" i="20"/>
  <c r="I70" i="20"/>
  <c r="H70" i="20"/>
  <c r="S17" i="17" s="1"/>
  <c r="G70" i="20"/>
  <c r="J69" i="20"/>
  <c r="I69" i="20"/>
  <c r="H69" i="20"/>
  <c r="S16" i="17" s="1"/>
  <c r="U16" i="17" s="1"/>
  <c r="G69" i="20"/>
  <c r="J68" i="20"/>
  <c r="I68" i="20"/>
  <c r="H68" i="20"/>
  <c r="S15" i="17" s="1"/>
  <c r="G68" i="20"/>
  <c r="J67" i="20"/>
  <c r="I67" i="20"/>
  <c r="H67" i="20"/>
  <c r="S14" i="17" s="1"/>
  <c r="G67" i="20"/>
  <c r="J66" i="20"/>
  <c r="I66" i="20"/>
  <c r="H66" i="20"/>
  <c r="S13" i="17" s="1"/>
  <c r="G66" i="20"/>
  <c r="J61" i="20"/>
  <c r="I61" i="20"/>
  <c r="H61" i="20"/>
  <c r="P20" i="17" s="1"/>
  <c r="R20" i="17" s="1"/>
  <c r="G61" i="20"/>
  <c r="J60" i="20"/>
  <c r="I60" i="20"/>
  <c r="H60" i="20"/>
  <c r="P19" i="17" s="1"/>
  <c r="R19" i="17" s="1"/>
  <c r="G60" i="20"/>
  <c r="J59" i="20"/>
  <c r="I59" i="20"/>
  <c r="H59" i="20"/>
  <c r="P18" i="17" s="1"/>
  <c r="R18" i="17" s="1"/>
  <c r="G59" i="20"/>
  <c r="J58" i="20"/>
  <c r="I58" i="20"/>
  <c r="H58" i="20"/>
  <c r="P17" i="17" s="1"/>
  <c r="R17" i="17" s="1"/>
  <c r="G58" i="20"/>
  <c r="J57" i="20"/>
  <c r="I57" i="20"/>
  <c r="H57" i="20"/>
  <c r="P16" i="17" s="1"/>
  <c r="R16" i="17" s="1"/>
  <c r="G57" i="20"/>
  <c r="J56" i="20"/>
  <c r="I56" i="20"/>
  <c r="H56" i="20"/>
  <c r="P15" i="17" s="1"/>
  <c r="R15" i="17" s="1"/>
  <c r="G56" i="20"/>
  <c r="J55" i="20"/>
  <c r="I55" i="20"/>
  <c r="H55" i="20"/>
  <c r="P14" i="17" s="1"/>
  <c r="R14" i="17" s="1"/>
  <c r="G55" i="20"/>
  <c r="J54" i="20"/>
  <c r="I54" i="20"/>
  <c r="H54" i="20"/>
  <c r="P13" i="17" s="1"/>
  <c r="R13" i="17" s="1"/>
  <c r="G54" i="20"/>
  <c r="J13" i="20"/>
  <c r="I13" i="20"/>
  <c r="H13" i="20"/>
  <c r="D20" i="17" s="1"/>
  <c r="F20" i="17" s="1"/>
  <c r="G13" i="20"/>
  <c r="J25" i="20"/>
  <c r="I25" i="20"/>
  <c r="H25" i="20"/>
  <c r="G20" i="17" s="1"/>
  <c r="I20" i="17" s="1"/>
  <c r="G25" i="20"/>
  <c r="J24" i="20"/>
  <c r="I24" i="20"/>
  <c r="H24" i="20"/>
  <c r="G19" i="17" s="1"/>
  <c r="I19" i="17" s="1"/>
  <c r="G24" i="20"/>
  <c r="J23" i="20"/>
  <c r="I23" i="20"/>
  <c r="H23" i="20"/>
  <c r="G18" i="17" s="1"/>
  <c r="I18" i="17" s="1"/>
  <c r="G23" i="20"/>
  <c r="J22" i="20"/>
  <c r="I22" i="20"/>
  <c r="H22" i="20"/>
  <c r="G17" i="17" s="1"/>
  <c r="I17" i="17" s="1"/>
  <c r="G22" i="20"/>
  <c r="J21" i="20"/>
  <c r="I21" i="20"/>
  <c r="H21" i="20"/>
  <c r="G16" i="17" s="1"/>
  <c r="I16" i="17" s="1"/>
  <c r="G21" i="20"/>
  <c r="J20" i="20"/>
  <c r="I20" i="20"/>
  <c r="H20" i="20"/>
  <c r="G15" i="17" s="1"/>
  <c r="I15" i="17" s="1"/>
  <c r="G20" i="20"/>
  <c r="J19" i="20"/>
  <c r="I19" i="20"/>
  <c r="H19" i="20"/>
  <c r="G14" i="17" s="1"/>
  <c r="I14" i="17" s="1"/>
  <c r="G19" i="20"/>
  <c r="J18" i="20"/>
  <c r="I18" i="20"/>
  <c r="H18" i="20"/>
  <c r="G13" i="17" s="1"/>
  <c r="I13" i="17" s="1"/>
  <c r="G18" i="20"/>
  <c r="J49" i="20"/>
  <c r="I49" i="20"/>
  <c r="H49" i="20"/>
  <c r="M20" i="17" s="1"/>
  <c r="O20" i="17" s="1"/>
  <c r="G49" i="20"/>
  <c r="J48" i="20"/>
  <c r="I48" i="20"/>
  <c r="H48" i="20"/>
  <c r="M19" i="17" s="1"/>
  <c r="O19" i="17" s="1"/>
  <c r="G48" i="20"/>
  <c r="J47" i="20"/>
  <c r="I47" i="20"/>
  <c r="H47" i="20"/>
  <c r="M18" i="17" s="1"/>
  <c r="O18" i="17" s="1"/>
  <c r="G47" i="20"/>
  <c r="J46" i="20"/>
  <c r="I46" i="20"/>
  <c r="H46" i="20"/>
  <c r="M17" i="17" s="1"/>
  <c r="O17" i="17" s="1"/>
  <c r="G46" i="20"/>
  <c r="J45" i="20"/>
  <c r="I45" i="20"/>
  <c r="H45" i="20"/>
  <c r="M16" i="17" s="1"/>
  <c r="O16" i="17" s="1"/>
  <c r="G45" i="20"/>
  <c r="J44" i="20"/>
  <c r="I44" i="20"/>
  <c r="H44" i="20"/>
  <c r="M15" i="17" s="1"/>
  <c r="O15" i="17" s="1"/>
  <c r="G44" i="20"/>
  <c r="J43" i="20"/>
  <c r="I43" i="20"/>
  <c r="H43" i="20"/>
  <c r="M14" i="17" s="1"/>
  <c r="O14" i="17" s="1"/>
  <c r="G43" i="20"/>
  <c r="J42" i="20"/>
  <c r="I42" i="20"/>
  <c r="H42" i="20"/>
  <c r="M13" i="17" s="1"/>
  <c r="O13" i="17" s="1"/>
  <c r="G42" i="20"/>
  <c r="J37" i="20"/>
  <c r="I37" i="20"/>
  <c r="H37" i="20"/>
  <c r="J20" i="17" s="1"/>
  <c r="L20" i="17" s="1"/>
  <c r="G37" i="20"/>
  <c r="J36" i="20"/>
  <c r="I36" i="20"/>
  <c r="H36" i="20"/>
  <c r="J19" i="17" s="1"/>
  <c r="L19" i="17" s="1"/>
  <c r="G36" i="20"/>
  <c r="J35" i="20"/>
  <c r="I35" i="20"/>
  <c r="H35" i="20"/>
  <c r="J18" i="17" s="1"/>
  <c r="L18" i="17" s="1"/>
  <c r="G35" i="20"/>
  <c r="J34" i="20"/>
  <c r="I34" i="20"/>
  <c r="H34" i="20"/>
  <c r="J17" i="17" s="1"/>
  <c r="L17" i="17" s="1"/>
  <c r="G34" i="20"/>
  <c r="J33" i="20"/>
  <c r="I33" i="20"/>
  <c r="H33" i="20"/>
  <c r="J16" i="17" s="1"/>
  <c r="L16" i="17" s="1"/>
  <c r="G33" i="20"/>
  <c r="J32" i="20"/>
  <c r="I32" i="20"/>
  <c r="H32" i="20"/>
  <c r="J15" i="17" s="1"/>
  <c r="L15" i="17" s="1"/>
  <c r="G32" i="20"/>
  <c r="J31" i="20"/>
  <c r="I31" i="20"/>
  <c r="H31" i="20"/>
  <c r="J14" i="17" s="1"/>
  <c r="L14" i="17" s="1"/>
  <c r="G31" i="20"/>
  <c r="J30" i="20"/>
  <c r="I30" i="20"/>
  <c r="H30" i="20"/>
  <c r="J13" i="17" s="1"/>
  <c r="L13" i="17" s="1"/>
  <c r="G30" i="20"/>
  <c r="J12" i="20"/>
  <c r="I12" i="20"/>
  <c r="H12" i="20"/>
  <c r="D19" i="17" s="1"/>
  <c r="F19" i="17" s="1"/>
  <c r="G12" i="20"/>
  <c r="J11" i="20"/>
  <c r="I11" i="20"/>
  <c r="H11" i="20"/>
  <c r="D18" i="17" s="1"/>
  <c r="F18" i="17" s="1"/>
  <c r="G11" i="20"/>
  <c r="J10" i="20"/>
  <c r="I10" i="20"/>
  <c r="H10" i="20"/>
  <c r="D17" i="17" s="1"/>
  <c r="F17" i="17" s="1"/>
  <c r="G10" i="20"/>
  <c r="J9" i="20"/>
  <c r="I9" i="20"/>
  <c r="H9" i="20"/>
  <c r="D16" i="17" s="1"/>
  <c r="F16" i="17" s="1"/>
  <c r="G9" i="20"/>
  <c r="J8" i="20"/>
  <c r="I8" i="20"/>
  <c r="H8" i="20"/>
  <c r="D15" i="17" s="1"/>
  <c r="F15" i="17" s="1"/>
  <c r="G8" i="20"/>
  <c r="J7" i="20"/>
  <c r="I7" i="20"/>
  <c r="H7" i="20"/>
  <c r="D14" i="17" s="1"/>
  <c r="F14" i="17" s="1"/>
  <c r="G7" i="20"/>
  <c r="J6" i="20"/>
  <c r="I6" i="20"/>
  <c r="H6" i="20"/>
  <c r="D13" i="17" s="1"/>
  <c r="F13" i="17" s="1"/>
  <c r="G6" i="20"/>
  <c r="AC28" i="27" l="1"/>
  <c r="AD28" i="27" s="1"/>
  <c r="AC32" i="27"/>
  <c r="AD32" i="27" s="1"/>
  <c r="AD35" i="27"/>
  <c r="AC29" i="27"/>
  <c r="AD29" i="27" s="1"/>
  <c r="AD37" i="27"/>
  <c r="AC33" i="27"/>
  <c r="AD33" i="27" s="1"/>
  <c r="W26" i="27"/>
  <c r="X26" i="27" s="1"/>
  <c r="AC26" i="27"/>
  <c r="AD26" i="27" s="1"/>
  <c r="AC30" i="27"/>
  <c r="AD30" i="27" s="1"/>
  <c r="AD34" i="27"/>
  <c r="AC27" i="27"/>
  <c r="AD27" i="27" s="1"/>
  <c r="AD36" i="27"/>
  <c r="AC31" i="27"/>
  <c r="AD31" i="27" s="1"/>
  <c r="AA26" i="27"/>
  <c r="AF20" i="27"/>
  <c r="AF19" i="27"/>
  <c r="AD19" i="27"/>
  <c r="AF18" i="27"/>
  <c r="AD18" i="27"/>
  <c r="AF17" i="27"/>
  <c r="AD17" i="27"/>
  <c r="AF16" i="27"/>
  <c r="AF15" i="27"/>
  <c r="AD15" i="27"/>
  <c r="AF14" i="27"/>
  <c r="AD14" i="27"/>
  <c r="AF13" i="27"/>
  <c r="AD13" i="27"/>
  <c r="X13" i="27"/>
  <c r="U14" i="27"/>
  <c r="U13" i="27"/>
  <c r="U16" i="27"/>
  <c r="U15" i="27"/>
  <c r="P20" i="27"/>
  <c r="R20" i="27" s="1"/>
  <c r="U20" i="27"/>
  <c r="P19" i="27"/>
  <c r="R19" i="27" s="1"/>
  <c r="U19" i="27"/>
  <c r="P18" i="27"/>
  <c r="R18" i="27" s="1"/>
  <c r="U18" i="27"/>
  <c r="P17" i="27"/>
  <c r="R17" i="27" s="1"/>
  <c r="U17" i="27"/>
  <c r="D16" i="27"/>
  <c r="F16" i="27" s="1"/>
  <c r="AN16" i="27"/>
  <c r="AP16" i="27" s="1"/>
  <c r="D15" i="27"/>
  <c r="F15" i="27" s="1"/>
  <c r="AN15" i="27"/>
  <c r="AP15" i="27" s="1"/>
  <c r="D14" i="27"/>
  <c r="F14" i="27" s="1"/>
  <c r="AN14" i="27"/>
  <c r="AP14" i="27" s="1"/>
  <c r="D13" i="27"/>
  <c r="F13" i="27" s="1"/>
  <c r="AN13" i="27"/>
  <c r="AP13" i="27" s="1"/>
  <c r="AE20" i="27"/>
  <c r="AD20" i="27"/>
  <c r="AE19" i="27"/>
  <c r="AE18" i="27"/>
  <c r="AE17" i="27"/>
  <c r="AE16" i="27"/>
  <c r="AD16" i="27"/>
  <c r="AE15" i="27"/>
  <c r="AE14" i="27"/>
  <c r="AE13" i="27"/>
  <c r="U14" i="17"/>
  <c r="U18" i="17"/>
  <c r="X14" i="17"/>
  <c r="AA20" i="17"/>
  <c r="U15" i="17"/>
  <c r="U19" i="17"/>
  <c r="X15" i="17"/>
  <c r="AA16" i="17"/>
  <c r="AA18" i="17"/>
  <c r="AD13" i="17"/>
  <c r="AD18" i="17"/>
  <c r="AD19" i="17"/>
  <c r="U13" i="17"/>
  <c r="U17" i="17"/>
  <c r="X13" i="17"/>
  <c r="AM20" i="27"/>
  <c r="AJ15" i="27"/>
  <c r="AJ13" i="27"/>
  <c r="AM13" i="27"/>
  <c r="AM16" i="27"/>
  <c r="AA14" i="17"/>
  <c r="AD14" i="17"/>
  <c r="AD17" i="17"/>
  <c r="AD20" i="17"/>
  <c r="AA13" i="17"/>
  <c r="AA15" i="17"/>
  <c r="AD15" i="17"/>
  <c r="AJ16" i="27"/>
  <c r="AM19" i="27"/>
  <c r="AD16" i="17"/>
  <c r="AA19" i="17"/>
  <c r="D141" i="29"/>
  <c r="AM18" i="27"/>
  <c r="AA17" i="17"/>
  <c r="AM15" i="27"/>
  <c r="I14" i="27"/>
  <c r="AJ14" i="27"/>
  <c r="AM14" i="27"/>
  <c r="D112" i="29"/>
  <c r="I13" i="27"/>
  <c r="I15" i="27"/>
  <c r="I16" i="27"/>
  <c r="AM17" i="27"/>
  <c r="R13" i="27"/>
  <c r="R15" i="27"/>
  <c r="AS13" i="27"/>
  <c r="AS14" i="27"/>
  <c r="AS15" i="27"/>
  <c r="AS16" i="27"/>
  <c r="R14" i="27"/>
  <c r="R16" i="27"/>
  <c r="AG19" i="27" l="1"/>
  <c r="AG20" i="27"/>
  <c r="AG15" i="27"/>
  <c r="AG16" i="27"/>
  <c r="AG18" i="27"/>
  <c r="AG17" i="27"/>
  <c r="AG14" i="27"/>
  <c r="AG13" i="27"/>
</calcChain>
</file>

<file path=xl/sharedStrings.xml><?xml version="1.0" encoding="utf-8"?>
<sst xmlns="http://schemas.openxmlformats.org/spreadsheetml/2006/main" count="1555" uniqueCount="252">
  <si>
    <t>CDM</t>
  </si>
  <si>
    <t>Project</t>
  </si>
  <si>
    <t>SN</t>
  </si>
  <si>
    <t>FW</t>
  </si>
  <si>
    <t>1G, random</t>
  </si>
  <si>
    <t>Number of Repeat</t>
  </si>
  <si>
    <t>x1</t>
  </si>
  <si>
    <t>x2</t>
  </si>
  <si>
    <t>x3</t>
  </si>
  <si>
    <t>avg.</t>
  </si>
  <si>
    <t>max</t>
  </si>
  <si>
    <t>min</t>
  </si>
  <si>
    <t>Std.</t>
  </si>
  <si>
    <t>Sequential Read MB/s</t>
  </si>
  <si>
    <t>Sequential Write MB/s</t>
  </si>
  <si>
    <t>Random Read 512KB MB/s</t>
  </si>
  <si>
    <t>Random Write 512KB MB/s</t>
  </si>
  <si>
    <t>Random Read 4KB (QD=1) MB/s</t>
  </si>
  <si>
    <t>Random Write 4KB (QD=1) MB/s</t>
  </si>
  <si>
    <t>Random Read 4KB (QD=32) MB/s</t>
  </si>
  <si>
    <t>Random Write 4KB (QD=32) MB/s</t>
  </si>
  <si>
    <t>Controller</t>
  </si>
  <si>
    <t>Reference CDM</t>
    <phoneticPr fontId="26" type="noConversion"/>
  </si>
  <si>
    <t xml:space="preserve">2.5"_ 512GB </t>
    <phoneticPr fontId="26" type="noConversion"/>
  </si>
  <si>
    <t xml:space="preserve">2.5"_ 256GB </t>
    <phoneticPr fontId="26" type="noConversion"/>
  </si>
  <si>
    <t>Vendor</t>
    <phoneticPr fontId="26" type="noConversion"/>
  </si>
  <si>
    <t>Retail</t>
    <phoneticPr fontId="26" type="noConversion"/>
  </si>
  <si>
    <t>Dell</t>
    <phoneticPr fontId="26" type="noConversion"/>
  </si>
  <si>
    <t>Retail</t>
    <phoneticPr fontId="26" type="noConversion"/>
  </si>
  <si>
    <t>GOEM</t>
    <phoneticPr fontId="26" type="noConversion"/>
  </si>
  <si>
    <t>High</t>
    <phoneticPr fontId="26" type="noConversion"/>
  </si>
  <si>
    <t>Low</t>
    <phoneticPr fontId="26" type="noConversion"/>
  </si>
  <si>
    <t>Dell</t>
    <phoneticPr fontId="26" type="noConversion"/>
  </si>
  <si>
    <t>High</t>
    <phoneticPr fontId="26" type="noConversion"/>
  </si>
  <si>
    <t>GOEM</t>
    <phoneticPr fontId="26" type="noConversion"/>
  </si>
  <si>
    <t>Transaction ID</t>
    <phoneticPr fontId="26" type="noConversion"/>
  </si>
  <si>
    <t>HP</t>
    <phoneticPr fontId="26" type="noConversion"/>
  </si>
  <si>
    <t xml:space="preserve">2.5"_ 512GB </t>
    <phoneticPr fontId="26" type="noConversion"/>
  </si>
  <si>
    <t>Security</t>
    <phoneticPr fontId="26" type="noConversion"/>
  </si>
  <si>
    <t>N0630LDP</t>
    <phoneticPr fontId="26" type="noConversion"/>
  </si>
  <si>
    <t>N0132DDP</t>
    <phoneticPr fontId="26" type="noConversion"/>
  </si>
  <si>
    <t>RSA</t>
    <phoneticPr fontId="26" type="noConversion"/>
  </si>
  <si>
    <t>N0871DRP</t>
    <phoneticPr fontId="26" type="noConversion"/>
  </si>
  <si>
    <t>N0872DGP</t>
    <phoneticPr fontId="26" type="noConversion"/>
  </si>
  <si>
    <t>N0872DGS</t>
    <phoneticPr fontId="26" type="noConversion"/>
  </si>
  <si>
    <t>Sequential Read (Q= 32,T= 1)</t>
  </si>
  <si>
    <t>Sequential Write (Q= 32,T= 1)</t>
  </si>
  <si>
    <t>Random Read 4KiB (Q= 32,T= 1)</t>
  </si>
  <si>
    <t>Random Write 4KiB (Q= 32,T= 1)</t>
  </si>
  <si>
    <t>Sequential Read (T= 1)</t>
  </si>
  <si>
    <t>Sequential Write (T= 1)</t>
  </si>
  <si>
    <t>Random Read 4KiB (Q= 1,T= 1)</t>
  </si>
  <si>
    <t>Random Write 4KiB (Q= 1,T= 1)</t>
  </si>
  <si>
    <t>CrystalDiskMark 5.1.0</t>
    <phoneticPr fontId="26" type="noConversion"/>
  </si>
  <si>
    <t>Dean 2.1</t>
    <phoneticPr fontId="26" type="noConversion"/>
  </si>
  <si>
    <t>reference-2668534</t>
    <phoneticPr fontId="26" type="noConversion"/>
  </si>
  <si>
    <t>reference-2668534</t>
    <phoneticPr fontId="26" type="noConversion"/>
  </si>
  <si>
    <t>Venus II</t>
    <phoneticPr fontId="26" type="noConversion"/>
  </si>
  <si>
    <t>CrystalDiskMark 5.1.2</t>
  </si>
  <si>
    <t>CrystalDiskMark 5.1.2</t>
    <phoneticPr fontId="26" type="noConversion"/>
  </si>
  <si>
    <t>CrystalDiskMark 5.1.2</t>
    <phoneticPr fontId="26" type="noConversion"/>
  </si>
  <si>
    <t>Venus_Dean2.1_2.5"Half_512GB_Win10_64bit</t>
  </si>
  <si>
    <t>Venus_Dean2.1_2.5"Half_256GB_Win10_64bit</t>
  </si>
  <si>
    <t>Random Write 4KiB (Q= 32,T= 1)</t>
    <phoneticPr fontId="26" type="noConversion"/>
  </si>
  <si>
    <t>Random Read 4KiB (Q= 32,T= 1)</t>
    <phoneticPr fontId="26" type="noConversion"/>
  </si>
  <si>
    <t>Random Read 4KiB (Q= 1,T= 1)</t>
    <phoneticPr fontId="26" type="noConversion"/>
  </si>
  <si>
    <t>Random Write 4KiB (Q= 1,T= 1)</t>
    <phoneticPr fontId="26" type="noConversion"/>
  </si>
  <si>
    <r>
      <rPr>
        <sz val="8"/>
        <color rgb="FF000000"/>
        <rFont val="Calibri"/>
        <family val="2"/>
      </rPr>
      <t xml:space="preserve">CDM, BPC0,  
1GB range.
Win10,secondary,
C-state ON,
HotPlug Disabled,
</t>
    </r>
    <r>
      <rPr>
        <sz val="8"/>
        <color rgb="FFFF0000"/>
        <rFont val="Calibri"/>
        <family val="2"/>
      </rPr>
      <t>Max from 3 runs</t>
    </r>
    <phoneticPr fontId="26" type="noConversion"/>
  </si>
  <si>
    <t>CrystalDiskMark 5.1.2</t>
    <phoneticPr fontId="26" type="noConversion"/>
  </si>
  <si>
    <t>Lenovo</t>
    <phoneticPr fontId="26" type="noConversion"/>
  </si>
  <si>
    <t>Non_SED</t>
    <phoneticPr fontId="26" type="noConversion"/>
  </si>
  <si>
    <t>RSA_SED</t>
    <phoneticPr fontId="26" type="noConversion"/>
  </si>
  <si>
    <t>NAND</t>
    <phoneticPr fontId="26" type="noConversion"/>
  </si>
  <si>
    <t>CDM 5.1.2</t>
    <phoneticPr fontId="26" type="noConversion"/>
  </si>
  <si>
    <t>VenusII_Dean2.1_1Z_2.5"Half_512GB_Win10_64bit</t>
    <phoneticPr fontId="26" type="noConversion"/>
  </si>
  <si>
    <t>VenusII_Dean2.1_1Z_2.5"Half_128GB_Win10_64bit</t>
    <phoneticPr fontId="26" type="noConversion"/>
  </si>
  <si>
    <t>1Z</t>
    <phoneticPr fontId="26" type="noConversion"/>
  </si>
  <si>
    <t>HP NonSED</t>
    <phoneticPr fontId="26" type="noConversion"/>
  </si>
  <si>
    <t>128GB</t>
    <phoneticPr fontId="26" type="noConversion"/>
  </si>
  <si>
    <t>HP SED</t>
    <phoneticPr fontId="26" type="noConversion"/>
  </si>
  <si>
    <t>128GB</t>
    <phoneticPr fontId="26" type="noConversion"/>
  </si>
  <si>
    <t>HP NonSED</t>
    <phoneticPr fontId="26" type="noConversion"/>
  </si>
  <si>
    <t>512GB</t>
    <phoneticPr fontId="26" type="noConversion"/>
  </si>
  <si>
    <t>HP SED</t>
    <phoneticPr fontId="26" type="noConversion"/>
  </si>
  <si>
    <t>A0013DHR</t>
    <phoneticPr fontId="26" type="noConversion"/>
  </si>
  <si>
    <t>A0013DHS</t>
    <phoneticPr fontId="26" type="noConversion"/>
  </si>
  <si>
    <t xml:space="preserve">2.5"_ 128GB </t>
    <phoneticPr fontId="26" type="noConversion"/>
  </si>
  <si>
    <t>BS2</t>
    <phoneticPr fontId="26" type="noConversion"/>
  </si>
  <si>
    <t>BuildStream &amp; Transaction ID</t>
    <phoneticPr fontId="26" type="noConversion"/>
  </si>
  <si>
    <t>FF &amp; Capacity</t>
    <phoneticPr fontId="26" type="noConversion"/>
  </si>
  <si>
    <t>HP</t>
    <phoneticPr fontId="26" type="noConversion"/>
  </si>
  <si>
    <t>AD-2732449</t>
    <phoneticPr fontId="26" type="noConversion"/>
  </si>
  <si>
    <t>AD-2732449</t>
    <phoneticPr fontId="26" type="noConversion"/>
  </si>
  <si>
    <t>Random Read 4KiB (Q= 32,T= 1)</t>
    <phoneticPr fontId="26" type="noConversion"/>
  </si>
  <si>
    <t>Random Write 4KiB (Q= 32,T= 1)</t>
    <phoneticPr fontId="26" type="noConversion"/>
  </si>
  <si>
    <t>Random Read 4KiB (Q= 1,T= 1)</t>
    <phoneticPr fontId="26" type="noConversion"/>
  </si>
  <si>
    <t>Random Write 4KiB (Q= 1,T= 1)</t>
    <phoneticPr fontId="26" type="noConversion"/>
  </si>
  <si>
    <t>WD</t>
    <phoneticPr fontId="26" type="noConversion"/>
  </si>
  <si>
    <t>A0026DHR</t>
    <phoneticPr fontId="26" type="noConversion"/>
  </si>
  <si>
    <t>A0026DHS</t>
    <phoneticPr fontId="26" type="noConversion"/>
  </si>
  <si>
    <t>VenusII_AD_2776645</t>
    <phoneticPr fontId="26" type="noConversion"/>
  </si>
  <si>
    <t>N0025DHR</t>
    <phoneticPr fontId="26" type="noConversion"/>
  </si>
  <si>
    <t>VenusII_NJH_floating -2779764</t>
    <phoneticPr fontId="26" type="noConversion"/>
  </si>
  <si>
    <t>RSA</t>
    <phoneticPr fontId="26" type="noConversion"/>
  </si>
  <si>
    <t>VenusII_Dean2.1_2.5"Half_256GB_Win10_64bit</t>
    <phoneticPr fontId="26" type="noConversion"/>
  </si>
  <si>
    <t>Sequential Write (T= 1)</t>
    <phoneticPr fontId="26" type="noConversion"/>
  </si>
  <si>
    <t>CrystalDiskMark 5.1.2</t>
    <phoneticPr fontId="26" type="noConversion"/>
  </si>
  <si>
    <t>Random Read 4KiB (Q= 32,T= 1)</t>
    <phoneticPr fontId="26" type="noConversion"/>
  </si>
  <si>
    <t>CrystalDiskMark 5.1.2</t>
    <phoneticPr fontId="26" type="noConversion"/>
  </si>
  <si>
    <t>Random Write 4KiB (Q= 32,T= 1)</t>
    <phoneticPr fontId="26" type="noConversion"/>
  </si>
  <si>
    <t>CrystalDiskMark 5.1.2</t>
    <phoneticPr fontId="26" type="noConversion"/>
  </si>
  <si>
    <t>VenusII_Dean2.1_2.5"Half_256GB_Win10_64bit</t>
    <phoneticPr fontId="26" type="noConversion"/>
  </si>
  <si>
    <t>Random Read 4KiB (Q= 32,T= 1)</t>
    <phoneticPr fontId="26" type="noConversion"/>
  </si>
  <si>
    <t>CrystalDiskMark 5.1.0</t>
    <phoneticPr fontId="26" type="noConversion"/>
  </si>
  <si>
    <t>CrystalDiskMark 5.1.0</t>
    <phoneticPr fontId="26" type="noConversion"/>
  </si>
  <si>
    <t>LENovo</t>
    <phoneticPr fontId="26" type="noConversion"/>
  </si>
  <si>
    <t>dell</t>
    <phoneticPr fontId="26" type="noConversion"/>
  </si>
  <si>
    <t>sed</t>
    <phoneticPr fontId="26" type="noConversion"/>
  </si>
  <si>
    <t>Actual Capacity</t>
    <phoneticPr fontId="26" type="noConversion"/>
  </si>
  <si>
    <t>203GB</t>
    <phoneticPr fontId="26" type="noConversion"/>
  </si>
  <si>
    <t>120GB</t>
    <phoneticPr fontId="26" type="noConversion"/>
  </si>
  <si>
    <t>139GB</t>
    <phoneticPr fontId="26" type="noConversion"/>
  </si>
  <si>
    <t>194GB</t>
    <phoneticPr fontId="26" type="noConversion"/>
  </si>
  <si>
    <t>Milan</t>
    <phoneticPr fontId="26" type="noConversion"/>
  </si>
  <si>
    <t>SN</t>
    <phoneticPr fontId="26" type="noConversion"/>
  </si>
  <si>
    <t>Reference SSW</t>
    <phoneticPr fontId="26" type="noConversion"/>
  </si>
  <si>
    <t>SSW</t>
    <phoneticPr fontId="26" type="noConversion"/>
  </si>
  <si>
    <t>CDM</t>
    <phoneticPr fontId="26" type="noConversion"/>
  </si>
  <si>
    <t>VenusII_Dean2.1_2.5"Half_256GB_Win10_64bit</t>
    <phoneticPr fontId="26" type="noConversion"/>
  </si>
  <si>
    <t>VenusII_Dean2.1_2.5"_512GB</t>
    <phoneticPr fontId="26" type="noConversion"/>
  </si>
  <si>
    <t>GOEMH</t>
    <phoneticPr fontId="26" type="noConversion"/>
  </si>
  <si>
    <t>A0050AGD</t>
  </si>
  <si>
    <t>venus3-fw-fwcode-dev-3580</t>
  </si>
  <si>
    <t>venus3-fw-fwcode-static-regression2-3542</t>
  </si>
  <si>
    <t>N0690AGD</t>
  </si>
  <si>
    <t>A0001BWD</t>
  </si>
  <si>
    <t>venus3-fw-fwcode-dev512-3903</t>
  </si>
  <si>
    <t>A0002BWD</t>
  </si>
  <si>
    <t>venus3-fw-fwcode-dev512-4037</t>
  </si>
  <si>
    <t>A0009BWD</t>
  </si>
  <si>
    <t>venus3-fw-fwcode-dev512-5396</t>
  </si>
  <si>
    <t>Delta based on A0009BWD</t>
  </si>
  <si>
    <t>2TB</t>
  </si>
  <si>
    <t>4TB</t>
  </si>
  <si>
    <t>N1654BWD</t>
  </si>
  <si>
    <t>VENUSIII-2470_TestFW_ChangeParam_R5_PVFY_SLC_by_MRPH-5493</t>
  </si>
  <si>
    <t>Random Read 4KiB (Q= 32,T= 4)</t>
  </si>
  <si>
    <t>Random Write 4KiB (Q= 32,T= 4)</t>
  </si>
  <si>
    <t>Random Write 4KiB (Q= 32,T= 8)</t>
  </si>
  <si>
    <t>Random Read 4KiB (Q= 32,T= 8)</t>
  </si>
  <si>
    <t>CrystalDiskMark 6.0.2</t>
  </si>
  <si>
    <t>FW path</t>
  </si>
  <si>
    <r>
      <t xml:space="preserve">2.5"_ 250GB </t>
    </r>
    <r>
      <rPr>
        <b/>
        <sz val="11"/>
        <color rgb="FFFF0000"/>
        <rFont val="Calibri"/>
        <family val="2"/>
      </rPr>
      <t>(BICS4)</t>
    </r>
  </si>
  <si>
    <r>
      <t>2.5"_ 250GB</t>
    </r>
    <r>
      <rPr>
        <b/>
        <sz val="11"/>
        <color rgb="FFFF0000"/>
        <rFont val="Calibri"/>
        <family val="2"/>
      </rPr>
      <t xml:space="preserve"> (BICS4)</t>
    </r>
  </si>
  <si>
    <r>
      <t xml:space="preserve">2.5"_ 512Gb_500GB </t>
    </r>
    <r>
      <rPr>
        <b/>
        <sz val="11"/>
        <color rgb="FFFF0000"/>
        <rFont val="Calibri"/>
        <family val="2"/>
      </rPr>
      <t>(BICS4)</t>
    </r>
  </si>
  <si>
    <r>
      <t>2.5"_ 512Gb_</t>
    </r>
    <r>
      <rPr>
        <b/>
        <sz val="11"/>
        <color rgb="FFFF0000"/>
        <rFont val="Calibri"/>
        <family val="2"/>
      </rPr>
      <t>4TB</t>
    </r>
  </si>
  <si>
    <r>
      <t>2.5"_ 256GB</t>
    </r>
    <r>
      <rPr>
        <b/>
        <sz val="11"/>
        <color rgb="FFFF0000"/>
        <rFont val="Calibri"/>
        <family val="2"/>
      </rPr>
      <t xml:space="preserve"> (BICS4)</t>
    </r>
  </si>
  <si>
    <t>Drive</t>
  </si>
  <si>
    <t>Capacity</t>
  </si>
  <si>
    <t>PC</t>
  </si>
  <si>
    <t>256Gb 256GB(GOEM)</t>
  </si>
  <si>
    <r>
      <rPr>
        <b/>
        <sz val="11"/>
        <rFont val="Calibri"/>
        <family val="2"/>
      </rPr>
      <t>CDM</t>
    </r>
    <r>
      <rPr>
        <sz val="11"/>
        <color rgb="FF000000"/>
        <rFont val="Calibri"/>
        <family val="2"/>
      </rPr>
      <t xml:space="preserve">, BPC0,  
1GB range.
Win10,secondary,
C-state ON,
HotPlug Disabled,
</t>
    </r>
    <r>
      <rPr>
        <b/>
        <sz val="11"/>
        <color rgb="FFFF0000"/>
        <rFont val="Calibri"/>
        <family val="2"/>
      </rPr>
      <t>Max from 3 runs</t>
    </r>
  </si>
  <si>
    <r>
      <rPr>
        <b/>
        <sz val="11"/>
        <rFont val="Calibri"/>
        <family val="2"/>
      </rPr>
      <t>CDM</t>
    </r>
    <r>
      <rPr>
        <sz val="11"/>
        <color rgb="FF000000"/>
        <rFont val="Calibri"/>
        <family val="2"/>
      </rPr>
      <t xml:space="preserve">, BPC0,  
1GB range.
Win10,secondary,
C-state ON,
HotPlug Disabled,
</t>
    </r>
    <r>
      <rPr>
        <b/>
        <sz val="11"/>
        <color rgb="FFFF0000"/>
        <rFont val="Calibri"/>
        <family val="2"/>
      </rPr>
      <t>Average from 3 runs</t>
    </r>
  </si>
  <si>
    <t>Sequential Read 1MiB(Q= 8,T= 1)(MB/s)</t>
  </si>
  <si>
    <t>Sequential Write 1MiB(Q= 8,T= 1)(MB/s)</t>
  </si>
  <si>
    <t>Random Read 4KiB (Q= 32,T= 16)(IOPS)</t>
  </si>
  <si>
    <t>Random Write 4KiB (Q= 32,T= 16)(IOPS)</t>
  </si>
  <si>
    <t>Random Read 4KiB (Q= 1,T= 1)(IOPS)</t>
  </si>
  <si>
    <t>Random Write 4KiB (Q= 1,T= 1 )(IOPS)</t>
  </si>
  <si>
    <t>Mix 70/30 Sequential 1MiB(Q=8,T=1)</t>
  </si>
  <si>
    <t>Mix 70/30 Random 4MiB(Q=8,T=1)</t>
  </si>
  <si>
    <t>Sequential Read (Q= 8,T= 1)</t>
  </si>
  <si>
    <t>Sequential Write (Q= 8,T= 1)</t>
  </si>
  <si>
    <t>Sequential Read (Q= 1,T= 1)</t>
  </si>
  <si>
    <t>Sequential Write (Q= 1,T= 1)</t>
  </si>
  <si>
    <t>Random Read 4KiB (Q= 32,T= 16)</t>
  </si>
  <si>
    <t>Random Write 4KiB (Q= 32,T= 16)</t>
  </si>
  <si>
    <t>Random Read 4KiB (Q= 1,T=1)</t>
  </si>
  <si>
    <t>Mix 70/30 Sequential 1MiB(Q=1,T=1)</t>
  </si>
  <si>
    <t>Mix 70/30 Random 4MiB(Q=32,T=16)</t>
  </si>
  <si>
    <t>Mix 70/30 Random 4MiB(Q=1,T=1)</t>
  </si>
  <si>
    <t>ATLAS T16+ DVT2</t>
  </si>
  <si>
    <t>Atlas T16+ DVT2 M.2</t>
  </si>
  <si>
    <t>20212Q640812</t>
  </si>
  <si>
    <t>Sequenti</t>
  </si>
  <si>
    <t xml:space="preserve">al 1MiB </t>
  </si>
  <si>
    <t xml:space="preserve">(Q=  8, </t>
  </si>
  <si>
    <t xml:space="preserve">T= 1):  </t>
  </si>
  <si>
    <t xml:space="preserve"> MB/s [ </t>
  </si>
  <si>
    <t xml:space="preserve"> IOPS] &lt;</t>
  </si>
  <si>
    <t>8 us&gt;</t>
  </si>
  <si>
    <t xml:space="preserve">(Q=  1, </t>
  </si>
  <si>
    <t>6 us&gt;</t>
  </si>
  <si>
    <t xml:space="preserve">    Rand</t>
  </si>
  <si>
    <t xml:space="preserve">om 4KiB </t>
  </si>
  <si>
    <t xml:space="preserve">(Q= 32, </t>
  </si>
  <si>
    <t xml:space="preserve">T=16):  </t>
  </si>
  <si>
    <t>7 us&gt;</t>
  </si>
  <si>
    <t>5 us&gt;</t>
  </si>
  <si>
    <t>0 us&gt;</t>
  </si>
  <si>
    <t>1 us&gt;</t>
  </si>
  <si>
    <t>R1037T2P
by connecting M.2 slot
(Security, Gen4)</t>
  </si>
  <si>
    <t>https://artifactory.wdc.com/artifactory/fpg-css-fw-release-global/2020-08-23_4e710d5_d1d7a63/atlas/RelPkg_20200823_090936_atlas.zip</t>
  </si>
  <si>
    <t>Delta based on
R1037T2P</t>
  </si>
  <si>
    <t>(DVT2)</t>
  </si>
  <si>
    <r>
      <rPr>
        <b/>
        <sz val="11"/>
        <rFont val="Calibri"/>
        <family val="2"/>
      </rPr>
      <t>Sustained SW</t>
    </r>
    <r>
      <rPr>
        <sz val="11"/>
        <rFont val="Calibri"/>
        <family val="2"/>
      </rPr>
      <t xml:space="preserve"> : MBps 128KB QD=1, Run time = 0
iometer /c  config.icf /r result.csv  /a  num_io_to_test
(it will run until "capacity x2" data is written) (MBps)</t>
    </r>
  </si>
  <si>
    <t>Run1</t>
  </si>
  <si>
    <t>Run2</t>
  </si>
  <si>
    <t>Run3</t>
  </si>
  <si>
    <t>Commit ID</t>
  </si>
  <si>
    <t>Mix R70/W30 Sequential 1MiB (Q=1,T=1)</t>
  </si>
  <si>
    <t>Mix R70/W30 Random 1MiB (Q=32,T=16)</t>
  </si>
  <si>
    <t>Mix R70/W30 Random 1MiB (Q=1,T=1)</t>
  </si>
  <si>
    <t>512Gb_1TB</t>
  </si>
  <si>
    <t>Mix R70/W30 Random 4KiB (Q=32,T=16)(IOPs)</t>
    <phoneticPr fontId="26" type="noConversion"/>
  </si>
  <si>
    <t>Mix R70/W30 Random 4KiB (Q=1,T=1)(IOPs)</t>
    <phoneticPr fontId="26" type="noConversion"/>
  </si>
  <si>
    <t>Mix R70/W30 Sequential 1MiB (Q=8,T=1)(MB/s)</t>
    <phoneticPr fontId="26" type="noConversion"/>
  </si>
  <si>
    <t>GTM-06
ROG Z590 (BIOS v.0402)</t>
  </si>
  <si>
    <r>
      <t xml:space="preserve">214713640108
</t>
    </r>
    <r>
      <rPr>
        <b/>
        <sz val="11"/>
        <color rgb="FFFF0000"/>
        <rFont val="Calibri"/>
        <family val="2"/>
      </rPr>
      <t>(DVT1)</t>
    </r>
  </si>
  <si>
    <t>https://artifactory.wdc.com/artifactory/fpg-css-fw-release-global/33fbf440/R1020UCO/atlasr_sed/RelPkg_20220428_022648_atlasr_sed.zip</t>
  </si>
  <si>
    <t>\\seouniip01\SSD_Builds\Atlas_Refresh\Firmware\Releases\Unofficial_Builds\3f08e74\atlasr_sed\_out\atlasr_sed</t>
  </si>
  <si>
    <t>3f08e74 perf (OEM SED)
(Security, Gen4)</t>
  </si>
  <si>
    <t>R1020UCO (OEM SED)
(Security, Gen4)</t>
  </si>
  <si>
    <t>Delta based on
R1020UCO (OEM SED)</t>
  </si>
  <si>
    <t>s</t>
  </si>
  <si>
    <t>3 us&gt;</t>
  </si>
  <si>
    <t xml:space="preserve"> MB/s [1</t>
  </si>
  <si>
    <t>05929AKO (GOEM SED)
(Security, Gen4)</t>
  </si>
  <si>
    <t>05900AKO (GOEM SED)
(Security, Gen4)</t>
  </si>
  <si>
    <t>Delta based on
05900AKO (GOEM SED)</t>
  </si>
  <si>
    <t>GTM-22
ROG Z790  (BIOS v.0402)</t>
  </si>
  <si>
    <t>\\usg-op-fpgcss01.wdc.com\fpgcss_ci\atlas3\Firmware\Releases\Unofficial_Builds\05929_955f5864\05929AKO\atlas3_sed_BOT</t>
  </si>
  <si>
    <t>\\usg-op-fpgcss01.wdc.com\fpgcss_ci\atlas3\Firmware\Releases\Unofficial_Builds\05900_c10da90a\05900AKO\atlas3_sed_BOT</t>
  </si>
  <si>
    <r>
      <t xml:space="preserve">231932900150
</t>
    </r>
    <r>
      <rPr>
        <b/>
        <sz val="11"/>
        <color rgb="FFFF0000"/>
        <rFont val="Calibri"/>
        <family val="2"/>
        <scheme val="minor"/>
      </rPr>
      <t>(EVT2)</t>
    </r>
  </si>
  <si>
    <t>1024Gb_2TB</t>
  </si>
  <si>
    <t xml:space="preserve">al 8KiB </t>
  </si>
  <si>
    <t>CDM 8.0.0</t>
  </si>
  <si>
    <t>9 us&gt;</t>
  </si>
  <si>
    <t>4 us&gt;</t>
  </si>
  <si>
    <t>Sequential Read 128iKiB(Q= 32,T= 1)(MB/s)</t>
  </si>
  <si>
    <t>Sequential Write 128KiB(Q= 32,T= 1)(MB/s)</t>
  </si>
  <si>
    <t>Mix R70/W30 Sequential 128iKiB (Q=32,T=1)(MB/s)</t>
  </si>
  <si>
    <t>GTM-22
ROG Z790 Without VBS  (BIOS v.1501)</t>
  </si>
  <si>
    <r>
      <t xml:space="preserve">24120M6A0811
</t>
    </r>
    <r>
      <rPr>
        <b/>
        <sz val="11"/>
        <color rgb="FFFF0000"/>
        <rFont val="Calibri"/>
        <family val="2"/>
      </rPr>
      <t>(DVT2)</t>
    </r>
  </si>
  <si>
    <t>2 us&gt;</t>
  </si>
  <si>
    <t>AO050AKO (GOEM SED)
(Security, Gen4)</t>
  </si>
  <si>
    <t>Delta based on
AO050AKO (GOEM SED)</t>
  </si>
  <si>
    <t>https://artifactory.wdc.com/artifactory/fpg-css-fw-release-uls/898eaa7967ebc860305de3f6674d95df730eac29/AO050AKO/atlas3_sed/RelPkg_20240516_034749_atlas3_sed.zip</t>
  </si>
  <si>
    <t>GTM-25
ROG Z790 Without VBS  (BIOS v.1501)</t>
  </si>
  <si>
    <r>
      <t xml:space="preserve">24120M6A0111
</t>
    </r>
    <r>
      <rPr>
        <b/>
        <sz val="11"/>
        <color rgb="FFFF0000"/>
        <rFont val="Calibri"/>
        <family val="2"/>
      </rPr>
      <t>(DVT2)</t>
    </r>
  </si>
  <si>
    <t>019af96 sed perf (GOEM SED)
(Security, Gen4)</t>
  </si>
  <si>
    <t>\\seouniip01\SSD_Builds\Atlas3\Firmware\Releases\Unofficial_Builds\019af96\atlas3_sed\_out\atlas3_sed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</si>
</sst>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#,##0.000"/>
    <numFmt numFmtId="165" formatCode="#,##0.0"/>
    <numFmt numFmtId="166" formatCode="0.0_ "/>
    <numFmt numFmtId="167" formatCode="0_ "/>
    <numFmt numFmtId="168" formatCode="0.000"/>
    <numFmt numFmtId="169" formatCode="0.0"/>
  </numFmts>
  <fonts count="45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1"/>
      <color theme="1"/>
      <name val="Calibri"/>
      <family val="3"/>
      <charset val="129"/>
      <scheme val="minor"/>
    </font>
    <font>
      <b/>
      <sz val="15"/>
      <color theme="3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u/>
      <sz val="10"/>
      <color indexed="12"/>
      <name val="Arial"/>
      <family val="2"/>
    </font>
    <font>
      <u/>
      <sz val="11"/>
      <color theme="10"/>
      <name val="Calibri"/>
      <family val="2"/>
      <charset val="129"/>
      <scheme val="minor"/>
    </font>
    <font>
      <sz val="10"/>
      <color theme="1"/>
      <name val="Calibri"/>
      <family val="2"/>
    </font>
    <font>
      <b/>
      <sz val="18"/>
      <color rgb="FFFF0000"/>
      <name val="Calibri"/>
      <family val="2"/>
    </font>
    <font>
      <b/>
      <sz val="10"/>
      <color rgb="FFFFFFFF"/>
      <name val="Calibri"/>
      <family val="2"/>
    </font>
    <font>
      <b/>
      <sz val="9"/>
      <color rgb="FFFFFFFF"/>
      <name val="Calibri"/>
      <family val="2"/>
    </font>
    <font>
      <sz val="9"/>
      <color rgb="FF000000"/>
      <name val="Calibri"/>
      <family val="2"/>
    </font>
    <font>
      <u/>
      <sz val="10"/>
      <color theme="10"/>
      <name val="Calibri"/>
      <family val="2"/>
    </font>
    <font>
      <sz val="8"/>
      <name val="Calibri"/>
      <family val="2"/>
      <charset val="129"/>
      <scheme val="minor"/>
    </font>
    <font>
      <b/>
      <sz val="11"/>
      <color theme="1"/>
      <name val="Calibri"/>
      <family val="2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</font>
    <font>
      <sz val="8"/>
      <color rgb="FF000000"/>
      <name val="Calibri"/>
      <family val="2"/>
    </font>
    <font>
      <sz val="8"/>
      <color rgb="FFFF0000"/>
      <name val="Calibri"/>
      <family val="2"/>
    </font>
    <font>
      <sz val="10"/>
      <color theme="1"/>
      <name val="돋움"/>
      <family val="3"/>
      <charset val="129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  <font>
      <b/>
      <sz val="11"/>
      <color rgb="FFFFFF0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charset val="129"/>
      <scheme val="minor"/>
    </font>
    <font>
      <b/>
      <sz val="11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theme="0"/>
      </right>
      <top/>
      <bottom/>
      <diagonal/>
    </border>
  </borders>
  <cellStyleXfs count="35">
    <xf numFmtId="0" fontId="0" fillId="0" borderId="0"/>
    <xf numFmtId="0" fontId="12" fillId="0" borderId="0"/>
    <xf numFmtId="0" fontId="15" fillId="0" borderId="1" applyNumberFormat="0" applyFill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6" fillId="0" borderId="0"/>
    <xf numFmtId="49" fontId="13" fillId="2" borderId="2" applyFont="0" applyBorder="0" applyAlignment="0">
      <alignment horizontal="left" vertical="center" wrapText="1"/>
    </xf>
    <xf numFmtId="0" fontId="11" fillId="0" borderId="0"/>
    <xf numFmtId="0" fontId="11" fillId="0" borderId="0"/>
    <xf numFmtId="0" fontId="11" fillId="3" borderId="0" applyNumberFormat="0" applyBorder="0" applyAlignment="0" applyProtection="0"/>
    <xf numFmtId="0" fontId="17" fillId="0" borderId="0"/>
    <xf numFmtId="0" fontId="10" fillId="5" borderId="0" applyNumberFormat="0" applyBorder="0" applyAlignment="0" applyProtection="0"/>
    <xf numFmtId="0" fontId="10" fillId="4" borderId="0" applyNumberFormat="0" applyBorder="0" applyAlignment="0" applyProtection="0"/>
    <xf numFmtId="0" fontId="17" fillId="3" borderId="0" applyNumberFormat="0" applyBorder="0" applyAlignment="0" applyProtection="0"/>
    <xf numFmtId="0" fontId="18" fillId="0" borderId="0" applyNumberFormat="0" applyFill="0" applyBorder="0" applyAlignment="0" applyProtection="0">
      <alignment vertical="top"/>
      <protection locked="0"/>
    </xf>
    <xf numFmtId="0" fontId="14" fillId="0" borderId="0"/>
    <xf numFmtId="0" fontId="17" fillId="0" borderId="0"/>
    <xf numFmtId="0" fontId="9" fillId="0" borderId="0"/>
    <xf numFmtId="0" fontId="9" fillId="0" borderId="0"/>
    <xf numFmtId="0" fontId="9" fillId="3" borderId="0" applyNumberFormat="0" applyBorder="0" applyAlignment="0" applyProtection="0"/>
    <xf numFmtId="0" fontId="8" fillId="0" borderId="0"/>
    <xf numFmtId="0" fontId="7" fillId="0" borderId="0"/>
    <xf numFmtId="0" fontId="7" fillId="0" borderId="0"/>
    <xf numFmtId="0" fontId="7" fillId="3" borderId="0" applyNumberFormat="0" applyBorder="0" applyAlignment="0" applyProtection="0"/>
    <xf numFmtId="0" fontId="20" fillId="0" borderId="0"/>
    <xf numFmtId="0" fontId="19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7" fillId="0" borderId="0"/>
    <xf numFmtId="0" fontId="19" fillId="0" borderId="0" applyNumberFormat="0" applyFill="0" applyBorder="0" applyAlignment="0" applyProtection="0"/>
  </cellStyleXfs>
  <cellXfs count="390">
    <xf numFmtId="0" fontId="0" fillId="0" borderId="0" xfId="0"/>
    <xf numFmtId="0" fontId="20" fillId="0" borderId="0" xfId="30"/>
    <xf numFmtId="0" fontId="21" fillId="0" borderId="0" xfId="30" applyFont="1"/>
    <xf numFmtId="0" fontId="0" fillId="0" borderId="4" xfId="0" applyFill="1" applyBorder="1"/>
    <xf numFmtId="0" fontId="0" fillId="0" borderId="10" xfId="0" applyBorder="1"/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7" borderId="10" xfId="0" applyFill="1" applyBorder="1"/>
    <xf numFmtId="0" fontId="0" fillId="0" borderId="11" xfId="0" applyBorder="1" applyAlignment="1">
      <alignment horizontal="center"/>
    </xf>
    <xf numFmtId="164" fontId="0" fillId="0" borderId="11" xfId="0" applyNumberFormat="1" applyFill="1" applyBorder="1" applyAlignment="1">
      <alignment horizontal="center"/>
    </xf>
    <xf numFmtId="3" fontId="0" fillId="0" borderId="11" xfId="0" applyNumberFormat="1" applyFill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165" fontId="0" fillId="0" borderId="11" xfId="0" applyNumberFormat="1" applyFill="1" applyBorder="1" applyAlignment="1">
      <alignment horizontal="center"/>
    </xf>
    <xf numFmtId="0" fontId="0" fillId="7" borderId="7" xfId="0" applyFill="1" applyBorder="1"/>
    <xf numFmtId="0" fontId="0" fillId="0" borderId="8" xfId="0" applyBorder="1" applyAlignment="1">
      <alignment horizontal="center"/>
    </xf>
    <xf numFmtId="165" fontId="0" fillId="0" borderId="8" xfId="0" applyNumberFormat="1" applyFill="1" applyBorder="1" applyAlignment="1">
      <alignment horizontal="center"/>
    </xf>
    <xf numFmtId="3" fontId="0" fillId="0" borderId="8" xfId="0" applyNumberFormat="1" applyFill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24" fillId="9" borderId="3" xfId="30" applyFont="1" applyFill="1" applyBorder="1" applyAlignment="1">
      <alignment vertical="center" wrapText="1"/>
    </xf>
    <xf numFmtId="0" fontId="24" fillId="8" borderId="3" xfId="30" applyFont="1" applyFill="1" applyBorder="1" applyAlignment="1">
      <alignment vertical="center" wrapText="1"/>
    </xf>
    <xf numFmtId="0" fontId="0" fillId="0" borderId="11" xfId="0" applyBorder="1" applyAlignment="1">
      <alignment horizontal="center" vertical="center"/>
    </xf>
    <xf numFmtId="0" fontId="24" fillId="8" borderId="3" xfId="30" applyFont="1" applyFill="1" applyBorder="1" applyAlignment="1">
      <alignment vertical="center" wrapText="1"/>
    </xf>
    <xf numFmtId="0" fontId="6" fillId="0" borderId="1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/>
    </xf>
    <xf numFmtId="0" fontId="5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10" borderId="10" xfId="0" applyFill="1" applyBorder="1"/>
    <xf numFmtId="0" fontId="0" fillId="10" borderId="7" xfId="0" applyFill="1" applyBorder="1"/>
    <xf numFmtId="0" fontId="27" fillId="0" borderId="24" xfId="0" applyFont="1" applyFill="1" applyBorder="1" applyAlignment="1">
      <alignment vertical="center"/>
    </xf>
    <xf numFmtId="0" fontId="27" fillId="8" borderId="0" xfId="0" applyFont="1" applyFill="1" applyAlignment="1">
      <alignment horizontal="center" vertical="center"/>
    </xf>
    <xf numFmtId="0" fontId="27" fillId="11" borderId="0" xfId="0" applyFont="1" applyFill="1" applyAlignment="1">
      <alignment horizontal="center" vertical="center"/>
    </xf>
    <xf numFmtId="0" fontId="29" fillId="12" borderId="3" xfId="30" applyFont="1" applyFill="1" applyBorder="1" applyAlignment="1">
      <alignment horizontal="center" vertical="center" wrapText="1"/>
    </xf>
    <xf numFmtId="1" fontId="20" fillId="6" borderId="3" xfId="30" applyNumberFormat="1" applyFill="1" applyBorder="1" applyAlignment="1">
      <alignment horizontal="center"/>
    </xf>
    <xf numFmtId="166" fontId="20" fillId="6" borderId="3" xfId="30" applyNumberFormat="1" applyFont="1" applyFill="1" applyBorder="1" applyAlignment="1">
      <alignment horizontal="center"/>
    </xf>
    <xf numFmtId="0" fontId="29" fillId="13" borderId="3" xfId="30" applyFont="1" applyFill="1" applyBorder="1" applyAlignment="1">
      <alignment horizontal="center" vertical="center" wrapText="1"/>
    </xf>
    <xf numFmtId="1" fontId="20" fillId="15" borderId="3" xfId="30" applyNumberFormat="1" applyFill="1" applyBorder="1" applyAlignment="1">
      <alignment horizontal="center"/>
    </xf>
    <xf numFmtId="166" fontId="28" fillId="15" borderId="3" xfId="30" applyNumberFormat="1" applyFont="1" applyFill="1" applyBorder="1" applyAlignment="1">
      <alignment horizontal="center"/>
    </xf>
    <xf numFmtId="0" fontId="29" fillId="13" borderId="3" xfId="30" applyFont="1" applyFill="1" applyBorder="1" applyAlignment="1">
      <alignment horizontal="center" vertical="center" wrapText="1"/>
    </xf>
    <xf numFmtId="0" fontId="29" fillId="12" borderId="3" xfId="3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center"/>
    </xf>
    <xf numFmtId="1" fontId="29" fillId="13" borderId="3" xfId="30" applyNumberFormat="1" applyFont="1" applyFill="1" applyBorder="1" applyAlignment="1">
      <alignment horizontal="center" vertical="center" wrapText="1"/>
    </xf>
    <xf numFmtId="1" fontId="29" fillId="12" borderId="3" xfId="30" applyNumberFormat="1" applyFont="1" applyFill="1" applyBorder="1" applyAlignment="1">
      <alignment horizontal="center" vertical="center" wrapText="1"/>
    </xf>
    <xf numFmtId="0" fontId="29" fillId="12" borderId="3" xfId="30" applyFont="1" applyFill="1" applyBorder="1" applyAlignment="1">
      <alignment horizontal="center" vertical="center" wrapText="1"/>
    </xf>
    <xf numFmtId="1" fontId="29" fillId="12" borderId="17" xfId="30" applyNumberFormat="1" applyFont="1" applyFill="1" applyBorder="1" applyAlignment="1">
      <alignment horizontal="center" vertical="center" wrapText="1"/>
    </xf>
    <xf numFmtId="0" fontId="0" fillId="10" borderId="26" xfId="0" applyFill="1" applyBorder="1"/>
    <xf numFmtId="0" fontId="0" fillId="0" borderId="27" xfId="0" applyBorder="1" applyAlignment="1">
      <alignment horizontal="center"/>
    </xf>
    <xf numFmtId="165" fontId="0" fillId="0" borderId="27" xfId="0" applyNumberFormat="1" applyFill="1" applyBorder="1" applyAlignment="1">
      <alignment horizontal="center"/>
    </xf>
    <xf numFmtId="3" fontId="0" fillId="0" borderId="27" xfId="0" applyNumberFormat="1" applyFill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164" fontId="0" fillId="0" borderId="8" xfId="0" applyNumberFormat="1" applyFill="1" applyBorder="1" applyAlignment="1">
      <alignment horizontal="center"/>
    </xf>
    <xf numFmtId="166" fontId="20" fillId="6" borderId="3" xfId="30" applyNumberFormat="1" applyFont="1" applyFill="1" applyBorder="1" applyAlignment="1">
      <alignment horizontal="center" vertical="center"/>
    </xf>
    <xf numFmtId="0" fontId="23" fillId="14" borderId="17" xfId="30" applyFont="1" applyFill="1" applyBorder="1" applyAlignment="1">
      <alignment horizontal="center" vertical="center" wrapText="1"/>
    </xf>
    <xf numFmtId="0" fontId="23" fillId="14" borderId="21" xfId="30" applyFont="1" applyFill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1" fontId="29" fillId="12" borderId="3" xfId="30" applyNumberFormat="1" applyFont="1" applyFill="1" applyBorder="1" applyAlignment="1">
      <alignment horizontal="center" vertical="center" wrapText="1"/>
    </xf>
    <xf numFmtId="1" fontId="29" fillId="13" borderId="3" xfId="30" applyNumberFormat="1" applyFont="1" applyFill="1" applyBorder="1" applyAlignment="1">
      <alignment horizontal="center" vertical="center" wrapText="1"/>
    </xf>
    <xf numFmtId="1" fontId="29" fillId="12" borderId="3" xfId="30" applyNumberFormat="1" applyFont="1" applyFill="1" applyBorder="1" applyAlignment="1">
      <alignment horizontal="center" vertical="center" wrapText="1"/>
    </xf>
    <xf numFmtId="0" fontId="29" fillId="12" borderId="3" xfId="30" applyFont="1" applyFill="1" applyBorder="1" applyAlignment="1">
      <alignment horizontal="center" vertical="center" wrapText="1"/>
    </xf>
    <xf numFmtId="1" fontId="29" fillId="12" borderId="3" xfId="30" applyNumberFormat="1" applyFont="1" applyFill="1" applyBorder="1" applyAlignment="1">
      <alignment horizontal="center" vertical="center" wrapText="1"/>
    </xf>
    <xf numFmtId="1" fontId="29" fillId="12" borderId="3" xfId="30" applyNumberFormat="1" applyFont="1" applyFill="1" applyBorder="1" applyAlignment="1">
      <alignment horizontal="center" vertical="center" wrapText="1"/>
    </xf>
    <xf numFmtId="1" fontId="20" fillId="0" borderId="0" xfId="30" applyNumberFormat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0" fontId="21" fillId="0" borderId="0" xfId="30" applyFont="1" applyAlignment="1">
      <alignment horizontal="center"/>
    </xf>
    <xf numFmtId="0" fontId="20" fillId="0" borderId="0" xfId="30" applyBorder="1"/>
    <xf numFmtId="0" fontId="32" fillId="0" borderId="0" xfId="30" applyFont="1"/>
    <xf numFmtId="1" fontId="20" fillId="15" borderId="3" xfId="30" applyNumberFormat="1" applyFont="1" applyFill="1" applyBorder="1" applyAlignment="1">
      <alignment horizontal="center" vertical="center"/>
    </xf>
    <xf numFmtId="1" fontId="20" fillId="19" borderId="3" xfId="30" applyNumberFormat="1" applyFont="1" applyFill="1" applyBorder="1" applyAlignment="1">
      <alignment horizontal="center" vertical="center"/>
    </xf>
    <xf numFmtId="1" fontId="20" fillId="6" borderId="3" xfId="30" applyNumberFormat="1" applyFont="1" applyFill="1" applyBorder="1" applyAlignment="1">
      <alignment horizontal="center" vertical="center"/>
    </xf>
    <xf numFmtId="1" fontId="20" fillId="12" borderId="3" xfId="30" applyNumberFormat="1" applyFont="1" applyFill="1" applyBorder="1" applyAlignment="1">
      <alignment horizontal="center" vertical="center"/>
    </xf>
    <xf numFmtId="1" fontId="20" fillId="20" borderId="3" xfId="30" applyNumberFormat="1" applyFont="1" applyFill="1" applyBorder="1" applyAlignment="1">
      <alignment horizontal="center" vertical="center"/>
    </xf>
    <xf numFmtId="1" fontId="20" fillId="22" borderId="3" xfId="30" applyNumberFormat="1" applyFont="1" applyFill="1" applyBorder="1" applyAlignment="1">
      <alignment horizontal="center" vertical="center"/>
    </xf>
    <xf numFmtId="166" fontId="20" fillId="12" borderId="3" xfId="30" applyNumberFormat="1" applyFont="1" applyFill="1" applyBorder="1" applyAlignment="1">
      <alignment horizontal="center" vertical="center"/>
    </xf>
    <xf numFmtId="0" fontId="0" fillId="0" borderId="31" xfId="0" applyBorder="1"/>
    <xf numFmtId="166" fontId="20" fillId="20" borderId="3" xfId="30" applyNumberFormat="1" applyFont="1" applyFill="1" applyBorder="1" applyAlignment="1">
      <alignment horizontal="center" vertical="center"/>
    </xf>
    <xf numFmtId="166" fontId="20" fillId="19" borderId="3" xfId="30" applyNumberFormat="1" applyFont="1" applyFill="1" applyBorder="1" applyAlignment="1">
      <alignment horizontal="center" vertical="center"/>
    </xf>
    <xf numFmtId="166" fontId="20" fillId="22" borderId="3" xfId="30" applyNumberFormat="1" applyFont="1" applyFill="1" applyBorder="1" applyAlignment="1">
      <alignment horizontal="center" vertical="center"/>
    </xf>
    <xf numFmtId="166" fontId="20" fillId="15" borderId="3" xfId="30" applyNumberFormat="1" applyFont="1" applyFill="1" applyBorder="1" applyAlignment="1">
      <alignment horizontal="center" vertical="center"/>
    </xf>
    <xf numFmtId="166" fontId="20" fillId="15" borderId="22" xfId="30" applyNumberFormat="1" applyFont="1" applyFill="1" applyBorder="1" applyAlignment="1">
      <alignment horizontal="center" vertical="center"/>
    </xf>
    <xf numFmtId="1" fontId="20" fillId="17" borderId="22" xfId="30" applyNumberFormat="1" applyFont="1" applyFill="1" applyBorder="1" applyAlignment="1">
      <alignment horizontal="center" vertical="center"/>
    </xf>
    <xf numFmtId="1" fontId="20" fillId="17" borderId="3" xfId="30" applyNumberFormat="1" applyFont="1" applyFill="1" applyBorder="1" applyAlignment="1">
      <alignment horizontal="center" vertical="center"/>
    </xf>
    <xf numFmtId="166" fontId="20" fillId="17" borderId="3" xfId="30" applyNumberFormat="1" applyFont="1" applyFill="1" applyBorder="1" applyAlignment="1">
      <alignment horizontal="center" vertical="center"/>
    </xf>
    <xf numFmtId="1" fontId="20" fillId="11" borderId="3" xfId="30" applyNumberFormat="1" applyFont="1" applyFill="1" applyBorder="1" applyAlignment="1">
      <alignment horizontal="center" vertical="center"/>
    </xf>
    <xf numFmtId="166" fontId="20" fillId="11" borderId="3" xfId="30" applyNumberFormat="1" applyFont="1" applyFill="1" applyBorder="1" applyAlignment="1">
      <alignment horizontal="center" vertical="center"/>
    </xf>
    <xf numFmtId="0" fontId="0" fillId="12" borderId="10" xfId="0" applyFill="1" applyBorder="1"/>
    <xf numFmtId="0" fontId="0" fillId="12" borderId="11" xfId="0" applyFill="1" applyBorder="1" applyAlignment="1">
      <alignment horizontal="center"/>
    </xf>
    <xf numFmtId="164" fontId="0" fillId="12" borderId="11" xfId="0" applyNumberFormat="1" applyFill="1" applyBorder="1" applyAlignment="1">
      <alignment horizontal="center"/>
    </xf>
    <xf numFmtId="3" fontId="0" fillId="12" borderId="11" xfId="0" applyNumberFormat="1" applyFill="1" applyBorder="1" applyAlignment="1">
      <alignment horizontal="center"/>
    </xf>
    <xf numFmtId="2" fontId="0" fillId="12" borderId="12" xfId="0" applyNumberFormat="1" applyFill="1" applyBorder="1" applyAlignment="1">
      <alignment horizontal="center"/>
    </xf>
    <xf numFmtId="0" fontId="0" fillId="12" borderId="0" xfId="0" applyFill="1"/>
    <xf numFmtId="0" fontId="0" fillId="20" borderId="0" xfId="0" applyFill="1"/>
    <xf numFmtId="0" fontId="0" fillId="7" borderId="26" xfId="0" applyFill="1" applyBorder="1"/>
    <xf numFmtId="0" fontId="27" fillId="27" borderId="24" xfId="0" applyFont="1" applyFill="1" applyBorder="1" applyAlignment="1">
      <alignment vertical="center"/>
    </xf>
    <xf numFmtId="0" fontId="0" fillId="27" borderId="0" xfId="0" applyFill="1"/>
    <xf numFmtId="168" fontId="0" fillId="0" borderId="11" xfId="0" applyNumberFormat="1" applyBorder="1" applyAlignment="1">
      <alignment horizontal="center"/>
    </xf>
    <xf numFmtId="168" fontId="0" fillId="0" borderId="11" xfId="0" applyNumberFormat="1" applyFill="1" applyBorder="1" applyAlignment="1">
      <alignment horizontal="center"/>
    </xf>
    <xf numFmtId="168" fontId="0" fillId="0" borderId="12" xfId="0" applyNumberFormat="1" applyBorder="1" applyAlignment="1">
      <alignment horizontal="center"/>
    </xf>
    <xf numFmtId="168" fontId="2" fillId="0" borderId="11" xfId="0" applyNumberFormat="1" applyFont="1" applyBorder="1" applyAlignment="1">
      <alignment horizontal="center"/>
    </xf>
    <xf numFmtId="168" fontId="0" fillId="0" borderId="8" xfId="0" applyNumberFormat="1" applyBorder="1" applyAlignment="1">
      <alignment horizontal="center"/>
    </xf>
    <xf numFmtId="168" fontId="0" fillId="0" borderId="8" xfId="0" applyNumberFormat="1" applyFill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168" fontId="0" fillId="0" borderId="11" xfId="0" applyNumberFormat="1" applyBorder="1" applyAlignment="1">
      <alignment horizontal="center" vertical="center"/>
    </xf>
    <xf numFmtId="168" fontId="2" fillId="0" borderId="11" xfId="0" applyNumberFormat="1" applyFont="1" applyBorder="1" applyAlignment="1">
      <alignment horizontal="center" vertical="center"/>
    </xf>
    <xf numFmtId="0" fontId="0" fillId="0" borderId="0" xfId="0" applyBorder="1"/>
    <xf numFmtId="0" fontId="0" fillId="16" borderId="0" xfId="0" applyFill="1"/>
    <xf numFmtId="0" fontId="0" fillId="16" borderId="10" xfId="0" applyFill="1" applyBorder="1"/>
    <xf numFmtId="0" fontId="0" fillId="16" borderId="11" xfId="0" applyFill="1" applyBorder="1" applyAlignment="1">
      <alignment horizontal="center"/>
    </xf>
    <xf numFmtId="164" fontId="0" fillId="16" borderId="11" xfId="0" applyNumberFormat="1" applyFill="1" applyBorder="1" applyAlignment="1">
      <alignment horizontal="center"/>
    </xf>
    <xf numFmtId="3" fontId="0" fillId="16" borderId="11" xfId="0" applyNumberFormat="1" applyFill="1" applyBorder="1" applyAlignment="1">
      <alignment horizontal="center"/>
    </xf>
    <xf numFmtId="2" fontId="0" fillId="16" borderId="12" xfId="0" applyNumberFormat="1" applyFill="1" applyBorder="1" applyAlignment="1">
      <alignment horizontal="center"/>
    </xf>
    <xf numFmtId="168" fontId="0" fillId="16" borderId="12" xfId="0" applyNumberFormat="1" applyFill="1" applyBorder="1" applyAlignment="1">
      <alignment horizontal="center"/>
    </xf>
    <xf numFmtId="0" fontId="27" fillId="16" borderId="17" xfId="30" applyFont="1" applyFill="1" applyBorder="1" applyAlignment="1">
      <alignment horizontal="center" vertical="center" wrapText="1"/>
    </xf>
    <xf numFmtId="0" fontId="27" fillId="16" borderId="21" xfId="30" applyFont="1" applyFill="1" applyBorder="1" applyAlignment="1">
      <alignment horizontal="center" vertical="center" wrapText="1"/>
    </xf>
    <xf numFmtId="0" fontId="27" fillId="16" borderId="22" xfId="30" applyFont="1" applyFill="1" applyBorder="1" applyAlignment="1">
      <alignment horizontal="center" vertical="center" wrapText="1"/>
    </xf>
    <xf numFmtId="0" fontId="27" fillId="7" borderId="22" xfId="30" applyFont="1" applyFill="1" applyBorder="1" applyAlignment="1">
      <alignment horizontal="center" vertical="center" wrapText="1"/>
    </xf>
    <xf numFmtId="0" fontId="27" fillId="25" borderId="3" xfId="30" applyFont="1" applyFill="1" applyBorder="1" applyAlignment="1">
      <alignment horizontal="center" vertical="center" wrapText="1"/>
    </xf>
    <xf numFmtId="1" fontId="27" fillId="7" borderId="21" xfId="30" applyNumberFormat="1" applyFont="1" applyFill="1" applyBorder="1" applyAlignment="1">
      <alignment horizontal="center" vertical="center" wrapText="1"/>
    </xf>
    <xf numFmtId="1" fontId="27" fillId="17" borderId="3" xfId="30" applyNumberFormat="1" applyFont="1" applyFill="1" applyBorder="1" applyAlignment="1">
      <alignment horizontal="center" vertical="center" wrapText="1"/>
    </xf>
    <xf numFmtId="1" fontId="27" fillId="23" borderId="3" xfId="30" applyNumberFormat="1" applyFont="1" applyFill="1" applyBorder="1" applyAlignment="1">
      <alignment horizontal="center" vertical="center" wrapText="1"/>
    </xf>
    <xf numFmtId="1" fontId="27" fillId="24" borderId="3" xfId="30" applyNumberFormat="1" applyFont="1" applyFill="1" applyBorder="1" applyAlignment="1">
      <alignment horizontal="center" vertical="center" wrapText="1"/>
    </xf>
    <xf numFmtId="1" fontId="27" fillId="7" borderId="3" xfId="30" applyNumberFormat="1" applyFont="1" applyFill="1" applyBorder="1" applyAlignment="1">
      <alignment horizontal="center" vertical="center" wrapText="1"/>
    </xf>
    <xf numFmtId="1" fontId="27" fillId="25" borderId="3" xfId="30" applyNumberFormat="1" applyFont="1" applyFill="1" applyBorder="1" applyAlignment="1">
      <alignment horizontal="center" vertical="center" wrapText="1"/>
    </xf>
    <xf numFmtId="1" fontId="27" fillId="26" borderId="3" xfId="30" applyNumberFormat="1" applyFont="1" applyFill="1" applyBorder="1" applyAlignment="1">
      <alignment horizontal="center" vertical="center" wrapText="1"/>
    </xf>
    <xf numFmtId="1" fontId="27" fillId="13" borderId="3" xfId="30" applyNumberFormat="1" applyFont="1" applyFill="1" applyBorder="1" applyAlignment="1">
      <alignment horizontal="center" vertical="center" wrapText="1"/>
    </xf>
    <xf numFmtId="1" fontId="27" fillId="18" borderId="3" xfId="30" applyNumberFormat="1" applyFont="1" applyFill="1" applyBorder="1" applyAlignment="1">
      <alignment horizontal="center" vertical="center" wrapText="1"/>
    </xf>
    <xf numFmtId="1" fontId="27" fillId="21" borderId="3" xfId="30" applyNumberFormat="1" applyFont="1" applyFill="1" applyBorder="1" applyAlignment="1">
      <alignment horizontal="center" vertical="center" wrapText="1"/>
    </xf>
    <xf numFmtId="0" fontId="27" fillId="17" borderId="3" xfId="30" applyFont="1" applyFill="1" applyBorder="1" applyAlignment="1">
      <alignment horizontal="center" vertical="center" wrapText="1"/>
    </xf>
    <xf numFmtId="0" fontId="27" fillId="23" borderId="3" xfId="30" applyFont="1" applyFill="1" applyBorder="1" applyAlignment="1">
      <alignment horizontal="center" vertical="center" wrapText="1"/>
    </xf>
    <xf numFmtId="0" fontId="27" fillId="24" borderId="3" xfId="30" applyFont="1" applyFill="1" applyBorder="1" applyAlignment="1">
      <alignment horizontal="center" vertical="center" wrapText="1"/>
    </xf>
    <xf numFmtId="0" fontId="27" fillId="26" borderId="3" xfId="30" applyFont="1" applyFill="1" applyBorder="1" applyAlignment="1">
      <alignment horizontal="center" vertical="center" wrapText="1"/>
    </xf>
    <xf numFmtId="0" fontId="27" fillId="18" borderId="3" xfId="30" applyFont="1" applyFill="1" applyBorder="1" applyAlignment="1">
      <alignment horizontal="center" vertical="center" wrapText="1"/>
    </xf>
    <xf numFmtId="0" fontId="27" fillId="21" borderId="3" xfId="30" applyFont="1" applyFill="1" applyBorder="1" applyAlignment="1">
      <alignment horizontal="center" vertical="center" wrapText="1"/>
    </xf>
    <xf numFmtId="0" fontId="39" fillId="8" borderId="3" xfId="30" applyFont="1" applyFill="1" applyBorder="1" applyAlignment="1">
      <alignment vertical="center" wrapText="1"/>
    </xf>
    <xf numFmtId="166" fontId="20" fillId="15" borderId="0" xfId="30" applyNumberFormat="1" applyFont="1" applyFill="1" applyBorder="1" applyAlignment="1">
      <alignment horizontal="center" vertical="center"/>
    </xf>
    <xf numFmtId="166" fontId="20" fillId="6" borderId="0" xfId="30" applyNumberFormat="1" applyFont="1" applyFill="1" applyBorder="1" applyAlignment="1">
      <alignment horizontal="center" vertical="center"/>
    </xf>
    <xf numFmtId="2" fontId="20" fillId="20" borderId="3" xfId="30" applyNumberFormat="1" applyFont="1" applyFill="1" applyBorder="1" applyAlignment="1">
      <alignment horizontal="center" vertical="center"/>
    </xf>
    <xf numFmtId="2" fontId="20" fillId="19" borderId="3" xfId="30" applyNumberFormat="1" applyFont="1" applyFill="1" applyBorder="1" applyAlignment="1">
      <alignment horizontal="center" vertical="center"/>
    </xf>
    <xf numFmtId="11" fontId="27" fillId="17" borderId="3" xfId="30" quotePrefix="1" applyNumberFormat="1" applyFont="1" applyFill="1" applyBorder="1" applyAlignment="1">
      <alignment horizontal="center" vertical="center" wrapText="1"/>
    </xf>
    <xf numFmtId="11" fontId="27" fillId="7" borderId="3" xfId="30" quotePrefix="1" applyNumberFormat="1" applyFont="1" applyFill="1" applyBorder="1" applyAlignment="1">
      <alignment horizontal="center" vertical="center" wrapText="1"/>
    </xf>
    <xf numFmtId="0" fontId="20" fillId="0" borderId="30" xfId="30" applyBorder="1"/>
    <xf numFmtId="2" fontId="20" fillId="12" borderId="3" xfId="30" applyNumberFormat="1" applyFont="1" applyFill="1" applyBorder="1" applyAlignment="1">
      <alignment horizontal="center" vertical="center"/>
    </xf>
    <xf numFmtId="11" fontId="27" fillId="25" borderId="3" xfId="30" quotePrefix="1" applyNumberFormat="1" applyFont="1" applyFill="1" applyBorder="1" applyAlignment="1">
      <alignment horizontal="center" vertical="center" wrapText="1"/>
    </xf>
    <xf numFmtId="0" fontId="33" fillId="16" borderId="20" xfId="30" applyFont="1" applyFill="1" applyBorder="1" applyAlignment="1">
      <alignment vertical="center" wrapText="1"/>
    </xf>
    <xf numFmtId="0" fontId="33" fillId="16" borderId="25" xfId="30" applyFont="1" applyFill="1" applyBorder="1" applyAlignment="1">
      <alignment vertical="center" wrapText="1"/>
    </xf>
    <xf numFmtId="0" fontId="33" fillId="16" borderId="29" xfId="30" applyFont="1" applyFill="1" applyBorder="1" applyAlignment="1">
      <alignment vertical="center" wrapText="1"/>
    </xf>
    <xf numFmtId="11" fontId="27" fillId="13" borderId="3" xfId="30" quotePrefix="1" applyNumberFormat="1" applyFont="1" applyFill="1" applyBorder="1" applyAlignment="1">
      <alignment horizontal="center" vertical="center" wrapText="1"/>
    </xf>
    <xf numFmtId="1" fontId="20" fillId="26" borderId="3" xfId="30" applyNumberFormat="1" applyFont="1" applyFill="1" applyBorder="1" applyAlignment="1">
      <alignment horizontal="center" vertical="center"/>
    </xf>
    <xf numFmtId="2" fontId="20" fillId="26" borderId="3" xfId="30" applyNumberFormat="1" applyFont="1" applyFill="1" applyBorder="1" applyAlignment="1">
      <alignment horizontal="center" vertical="center"/>
    </xf>
    <xf numFmtId="166" fontId="20" fillId="26" borderId="3" xfId="30" applyNumberFormat="1" applyFont="1" applyFill="1" applyBorder="1" applyAlignment="1">
      <alignment horizontal="center" vertical="center"/>
    </xf>
    <xf numFmtId="11" fontId="43" fillId="17" borderId="3" xfId="34" quotePrefix="1" applyNumberFormat="1" applyFont="1" applyFill="1" applyBorder="1" applyAlignment="1">
      <alignment horizontal="center" vertical="center" wrapText="1"/>
    </xf>
    <xf numFmtId="1" fontId="20" fillId="6" borderId="0" xfId="30" applyNumberFormat="1" applyFont="1" applyFill="1" applyBorder="1" applyAlignment="1">
      <alignment horizontal="center" vertical="center"/>
    </xf>
    <xf numFmtId="1" fontId="20" fillId="22" borderId="0" xfId="30" applyNumberFormat="1" applyFont="1" applyFill="1" applyBorder="1" applyAlignment="1">
      <alignment horizontal="center" vertical="center"/>
    </xf>
    <xf numFmtId="1" fontId="20" fillId="12" borderId="0" xfId="30" applyNumberFormat="1" applyFont="1" applyFill="1" applyBorder="1" applyAlignment="1">
      <alignment horizontal="center" vertical="center"/>
    </xf>
    <xf numFmtId="1" fontId="20" fillId="15" borderId="21" xfId="30" applyNumberFormat="1" applyFont="1" applyFill="1" applyBorder="1" applyAlignment="1">
      <alignment horizontal="center" vertical="center"/>
    </xf>
    <xf numFmtId="166" fontId="20" fillId="15" borderId="21" xfId="30" applyNumberFormat="1" applyFont="1" applyFill="1" applyBorder="1" applyAlignment="1">
      <alignment horizontal="center" vertical="center"/>
    </xf>
    <xf numFmtId="1" fontId="20" fillId="15" borderId="25" xfId="30" applyNumberFormat="1" applyFont="1" applyFill="1" applyBorder="1" applyAlignment="1">
      <alignment horizontal="center" vertical="center"/>
    </xf>
    <xf numFmtId="166" fontId="20" fillId="15" borderId="25" xfId="30" applyNumberFormat="1" applyFont="1" applyFill="1" applyBorder="1" applyAlignment="1">
      <alignment horizontal="center" vertical="center"/>
    </xf>
    <xf numFmtId="1" fontId="20" fillId="12" borderId="25" xfId="30" applyNumberFormat="1" applyFont="1" applyFill="1" applyBorder="1" applyAlignment="1">
      <alignment horizontal="center" vertical="center"/>
    </xf>
    <xf numFmtId="0" fontId="39" fillId="8" borderId="33" xfId="30" applyFont="1" applyFill="1" applyBorder="1" applyAlignment="1">
      <alignment vertical="center" wrapText="1"/>
    </xf>
    <xf numFmtId="1" fontId="20" fillId="15" borderId="33" xfId="30" applyNumberFormat="1" applyFont="1" applyFill="1" applyBorder="1" applyAlignment="1">
      <alignment horizontal="center" vertical="center"/>
    </xf>
    <xf numFmtId="166" fontId="20" fillId="15" borderId="33" xfId="30" applyNumberFormat="1" applyFont="1" applyFill="1" applyBorder="1" applyAlignment="1">
      <alignment horizontal="center" vertical="center"/>
    </xf>
    <xf numFmtId="166" fontId="20" fillId="15" borderId="34" xfId="30" applyNumberFormat="1" applyFont="1" applyFill="1" applyBorder="1" applyAlignment="1">
      <alignment horizontal="center" vertical="center"/>
    </xf>
    <xf numFmtId="1" fontId="20" fillId="20" borderId="33" xfId="30" applyNumberFormat="1" applyFont="1" applyFill="1" applyBorder="1" applyAlignment="1">
      <alignment horizontal="center" vertical="center"/>
    </xf>
    <xf numFmtId="166" fontId="20" fillId="20" borderId="33" xfId="30" applyNumberFormat="1" applyFont="1" applyFill="1" applyBorder="1" applyAlignment="1">
      <alignment horizontal="center" vertical="center"/>
    </xf>
    <xf numFmtId="1" fontId="20" fillId="12" borderId="33" xfId="30" applyNumberFormat="1" applyFont="1" applyFill="1" applyBorder="1" applyAlignment="1">
      <alignment horizontal="center" vertical="center"/>
    </xf>
    <xf numFmtId="166" fontId="20" fillId="12" borderId="33" xfId="30" applyNumberFormat="1" applyFont="1" applyFill="1" applyBorder="1" applyAlignment="1">
      <alignment horizontal="center" vertical="center"/>
    </xf>
    <xf numFmtId="1" fontId="20" fillId="26" borderId="33" xfId="30" applyNumberFormat="1" applyFont="1" applyFill="1" applyBorder="1" applyAlignment="1">
      <alignment horizontal="center" vertical="center"/>
    </xf>
    <xf numFmtId="166" fontId="20" fillId="26" borderId="33" xfId="30" applyNumberFormat="1" applyFont="1" applyFill="1" applyBorder="1" applyAlignment="1">
      <alignment horizontal="center" vertical="center"/>
    </xf>
    <xf numFmtId="1" fontId="20" fillId="19" borderId="33" xfId="30" applyNumberFormat="1" applyFont="1" applyFill="1" applyBorder="1" applyAlignment="1">
      <alignment horizontal="center" vertical="center"/>
    </xf>
    <xf numFmtId="166" fontId="20" fillId="19" borderId="33" xfId="30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Fill="1" applyBorder="1"/>
    <xf numFmtId="20" fontId="0" fillId="0" borderId="0" xfId="0" applyNumberFormat="1" applyFill="1"/>
    <xf numFmtId="1" fontId="20" fillId="26" borderId="18" xfId="30" applyNumberFormat="1" applyFont="1" applyFill="1" applyBorder="1" applyAlignment="1">
      <alignment horizontal="center" vertical="center"/>
    </xf>
    <xf numFmtId="1" fontId="20" fillId="15" borderId="18" xfId="30" applyNumberFormat="1" applyFont="1" applyFill="1" applyBorder="1" applyAlignment="1">
      <alignment horizontal="center" vertical="center"/>
    </xf>
    <xf numFmtId="166" fontId="20" fillId="15" borderId="18" xfId="30" applyNumberFormat="1" applyFont="1" applyFill="1" applyBorder="1" applyAlignment="1">
      <alignment horizontal="center" vertical="center"/>
    </xf>
    <xf numFmtId="166" fontId="20" fillId="15" borderId="29" xfId="30" applyNumberFormat="1" applyFont="1" applyFill="1" applyBorder="1" applyAlignment="1">
      <alignment horizontal="center" vertical="center"/>
    </xf>
    <xf numFmtId="1" fontId="20" fillId="20" borderId="18" xfId="30" applyNumberFormat="1" applyFont="1" applyFill="1" applyBorder="1" applyAlignment="1">
      <alignment horizontal="center" vertical="center"/>
    </xf>
    <xf numFmtId="166" fontId="20" fillId="20" borderId="18" xfId="30" applyNumberFormat="1" applyFont="1" applyFill="1" applyBorder="1" applyAlignment="1">
      <alignment horizontal="center" vertical="center"/>
    </xf>
    <xf numFmtId="1" fontId="20" fillId="12" borderId="18" xfId="30" applyNumberFormat="1" applyFont="1" applyFill="1" applyBorder="1" applyAlignment="1">
      <alignment horizontal="center" vertical="center"/>
    </xf>
    <xf numFmtId="166" fontId="20" fillId="12" borderId="18" xfId="30" applyNumberFormat="1" applyFont="1" applyFill="1" applyBorder="1" applyAlignment="1">
      <alignment horizontal="center" vertical="center"/>
    </xf>
    <xf numFmtId="169" fontId="0" fillId="16" borderId="11" xfId="0" applyNumberFormat="1" applyFill="1" applyBorder="1" applyAlignment="1">
      <alignment horizontal="center"/>
    </xf>
    <xf numFmtId="168" fontId="0" fillId="0" borderId="0" xfId="0" applyNumberFormat="1" applyFill="1"/>
    <xf numFmtId="168" fontId="0" fillId="0" borderId="0" xfId="0" applyNumberFormat="1" applyFill="1" applyBorder="1"/>
    <xf numFmtId="169" fontId="0" fillId="16" borderId="8" xfId="0" applyNumberFormat="1" applyFill="1" applyBorder="1" applyAlignment="1">
      <alignment horizontal="center"/>
    </xf>
    <xf numFmtId="168" fontId="0" fillId="16" borderId="5" xfId="0" applyNumberFormat="1" applyFill="1" applyBorder="1" applyAlignment="1">
      <alignment horizontal="center"/>
    </xf>
    <xf numFmtId="166" fontId="20" fillId="26" borderId="18" xfId="30" applyNumberFormat="1" applyFont="1" applyFill="1" applyBorder="1" applyAlignment="1">
      <alignment horizontal="center" vertical="center"/>
    </xf>
    <xf numFmtId="1" fontId="20" fillId="19" borderId="18" xfId="30" applyNumberFormat="1" applyFont="1" applyFill="1" applyBorder="1" applyAlignment="1">
      <alignment horizontal="center" vertical="center"/>
    </xf>
    <xf numFmtId="166" fontId="20" fillId="19" borderId="18" xfId="30" applyNumberFormat="1" applyFont="1" applyFill="1" applyBorder="1" applyAlignment="1">
      <alignment horizontal="center" vertical="center"/>
    </xf>
    <xf numFmtId="166" fontId="20" fillId="26" borderId="19" xfId="30" applyNumberFormat="1" applyFont="1" applyFill="1" applyBorder="1" applyAlignment="1">
      <alignment horizontal="center" vertical="center"/>
    </xf>
    <xf numFmtId="166" fontId="20" fillId="26" borderId="23" xfId="30" applyNumberFormat="1" applyFont="1" applyFill="1" applyBorder="1" applyAlignment="1">
      <alignment horizontal="center" vertical="center"/>
    </xf>
    <xf numFmtId="1" fontId="20" fillId="15" borderId="35" xfId="30" applyNumberFormat="1" applyFont="1" applyFill="1" applyBorder="1" applyAlignment="1">
      <alignment horizontal="center" vertical="center"/>
    </xf>
    <xf numFmtId="166" fontId="20" fillId="15" borderId="35" xfId="30" applyNumberFormat="1" applyFont="1" applyFill="1" applyBorder="1" applyAlignment="1">
      <alignment horizontal="center" vertical="center"/>
    </xf>
    <xf numFmtId="1" fontId="20" fillId="26" borderId="23" xfId="30" applyNumberFormat="1" applyFont="1" applyFill="1" applyBorder="1" applyAlignment="1">
      <alignment horizontal="center" vertical="center"/>
    </xf>
    <xf numFmtId="2" fontId="0" fillId="16" borderId="5" xfId="0" applyNumberFormat="1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0" borderId="38" xfId="0" applyBorder="1"/>
    <xf numFmtId="0" fontId="0" fillId="0" borderId="38" xfId="0" applyFill="1" applyBorder="1"/>
    <xf numFmtId="168" fontId="0" fillId="0" borderId="38" xfId="0" applyNumberFormat="1" applyFill="1" applyBorder="1"/>
    <xf numFmtId="0" fontId="27" fillId="17" borderId="3" xfId="30" quotePrefix="1" applyFont="1" applyFill="1" applyBorder="1" applyAlignment="1">
      <alignment horizontal="center" vertical="center" wrapText="1"/>
    </xf>
    <xf numFmtId="0" fontId="27" fillId="25" borderId="3" xfId="30" quotePrefix="1" applyFont="1" applyFill="1" applyBorder="1" applyAlignment="1">
      <alignment horizontal="center" vertical="center" wrapText="1"/>
    </xf>
    <xf numFmtId="0" fontId="27" fillId="13" borderId="3" xfId="30" quotePrefix="1" applyFont="1" applyFill="1" applyBorder="1" applyAlignment="1">
      <alignment horizontal="center" vertical="center" wrapText="1"/>
    </xf>
    <xf numFmtId="0" fontId="27" fillId="7" borderId="3" xfId="30" quotePrefix="1" applyFont="1" applyFill="1" applyBorder="1" applyAlignment="1">
      <alignment horizontal="center" vertical="center" wrapText="1"/>
    </xf>
    <xf numFmtId="0" fontId="20" fillId="0" borderId="35" xfId="30" applyBorder="1"/>
    <xf numFmtId="11" fontId="41" fillId="13" borderId="17" xfId="34" quotePrefix="1" applyNumberFormat="1" applyFont="1" applyFill="1" applyBorder="1" applyAlignment="1">
      <alignment horizontal="center" vertical="center" wrapText="1"/>
    </xf>
    <xf numFmtId="169" fontId="0" fillId="27" borderId="11" xfId="0" applyNumberFormat="1" applyFill="1" applyBorder="1" applyAlignment="1">
      <alignment horizontal="center"/>
    </xf>
    <xf numFmtId="2" fontId="0" fillId="27" borderId="12" xfId="0" applyNumberFormat="1" applyFill="1" applyBorder="1" applyAlignment="1">
      <alignment horizontal="center"/>
    </xf>
    <xf numFmtId="169" fontId="0" fillId="27" borderId="8" xfId="0" applyNumberFormat="1" applyFill="1" applyBorder="1" applyAlignment="1">
      <alignment horizontal="center"/>
    </xf>
    <xf numFmtId="2" fontId="0" fillId="27" borderId="5" xfId="0" applyNumberFormat="1" applyFill="1" applyBorder="1" applyAlignment="1">
      <alignment horizontal="center"/>
    </xf>
    <xf numFmtId="0" fontId="0" fillId="27" borderId="4" xfId="0" applyFill="1" applyBorder="1"/>
    <xf numFmtId="0" fontId="0" fillId="27" borderId="10" xfId="0" applyFill="1" applyBorder="1"/>
    <xf numFmtId="0" fontId="44" fillId="0" borderId="10" xfId="0" applyFont="1" applyBorder="1"/>
    <xf numFmtId="0" fontId="44" fillId="0" borderId="11" xfId="0" applyFont="1" applyFill="1" applyBorder="1" applyAlignment="1">
      <alignment horizontal="center"/>
    </xf>
    <xf numFmtId="0" fontId="0" fillId="27" borderId="11" xfId="0" applyFill="1" applyBorder="1" applyAlignment="1">
      <alignment horizontal="center"/>
    </xf>
    <xf numFmtId="168" fontId="0" fillId="27" borderId="12" xfId="0" applyNumberFormat="1" applyFill="1" applyBorder="1" applyAlignment="1">
      <alignment horizontal="center"/>
    </xf>
    <xf numFmtId="0" fontId="0" fillId="27" borderId="8" xfId="0" applyFill="1" applyBorder="1" applyAlignment="1">
      <alignment horizontal="center"/>
    </xf>
    <xf numFmtId="168" fontId="0" fillId="27" borderId="5" xfId="0" applyNumberFormat="1" applyFill="1" applyBorder="1" applyAlignment="1">
      <alignment horizontal="center"/>
    </xf>
    <xf numFmtId="0" fontId="44" fillId="0" borderId="12" xfId="0" applyFont="1" applyFill="1" applyBorder="1" applyAlignment="1">
      <alignment horizontal="center"/>
    </xf>
    <xf numFmtId="1" fontId="27" fillId="13" borderId="21" xfId="30" applyNumberFormat="1" applyFont="1" applyFill="1" applyBorder="1" applyAlignment="1">
      <alignment horizontal="center" vertical="center" wrapText="1"/>
    </xf>
    <xf numFmtId="1" fontId="27" fillId="17" borderId="21" xfId="30" applyNumberFormat="1" applyFont="1" applyFill="1" applyBorder="1" applyAlignment="1">
      <alignment horizontal="center" vertical="center" wrapText="1"/>
    </xf>
    <xf numFmtId="1" fontId="27" fillId="23" borderId="22" xfId="30" applyNumberFormat="1" applyFont="1" applyFill="1" applyBorder="1" applyAlignment="1">
      <alignment horizontal="center" vertical="center" wrapText="1"/>
    </xf>
    <xf numFmtId="1" fontId="27" fillId="17" borderId="22" xfId="30" applyNumberFormat="1" applyFont="1" applyFill="1" applyBorder="1" applyAlignment="1">
      <alignment horizontal="center" vertical="center" wrapText="1"/>
    </xf>
    <xf numFmtId="0" fontId="27" fillId="23" borderId="21" xfId="30" applyFont="1" applyFill="1" applyBorder="1" applyAlignment="1">
      <alignment horizontal="center" vertical="center" wrapText="1"/>
    </xf>
    <xf numFmtId="0" fontId="27" fillId="23" borderId="22" xfId="30" applyFont="1" applyFill="1" applyBorder="1" applyAlignment="1">
      <alignment horizontal="center" vertical="center" wrapText="1"/>
    </xf>
    <xf numFmtId="0" fontId="27" fillId="17" borderId="22" xfId="30" applyFont="1" applyFill="1" applyBorder="1" applyAlignment="1">
      <alignment horizontal="center" vertical="center" wrapText="1"/>
    </xf>
    <xf numFmtId="0" fontId="27" fillId="13" borderId="3" xfId="30" applyFont="1" applyFill="1" applyBorder="1" applyAlignment="1">
      <alignment horizontal="center" vertical="center" wrapText="1"/>
    </xf>
    <xf numFmtId="0" fontId="20" fillId="0" borderId="22" xfId="30" applyBorder="1"/>
    <xf numFmtId="0" fontId="36" fillId="21" borderId="0" xfId="30" applyFont="1" applyFill="1" applyBorder="1"/>
    <xf numFmtId="0" fontId="36" fillId="21" borderId="39" xfId="30" applyFont="1" applyFill="1" applyBorder="1"/>
    <xf numFmtId="166" fontId="20" fillId="6" borderId="39" xfId="30" applyNumberFormat="1" applyFont="1" applyFill="1" applyBorder="1" applyAlignment="1">
      <alignment horizontal="center" vertical="center"/>
    </xf>
    <xf numFmtId="1" fontId="20" fillId="6" borderId="25" xfId="30" applyNumberFormat="1" applyFont="1" applyFill="1" applyBorder="1" applyAlignment="1">
      <alignment horizontal="center" vertical="center"/>
    </xf>
    <xf numFmtId="166" fontId="20" fillId="6" borderId="25" xfId="30" applyNumberFormat="1" applyFont="1" applyFill="1" applyBorder="1" applyAlignment="1">
      <alignment horizontal="center" vertical="center"/>
    </xf>
    <xf numFmtId="1" fontId="20" fillId="22" borderId="25" xfId="30" applyNumberFormat="1" applyFont="1" applyFill="1" applyBorder="1" applyAlignment="1">
      <alignment horizontal="center" vertical="center"/>
    </xf>
    <xf numFmtId="166" fontId="20" fillId="6" borderId="29" xfId="30" applyNumberFormat="1" applyFont="1" applyFill="1" applyBorder="1" applyAlignment="1">
      <alignment horizontal="center" vertical="center"/>
    </xf>
    <xf numFmtId="0" fontId="0" fillId="27" borderId="11" xfId="0" applyFill="1" applyBorder="1" applyAlignment="1">
      <alignment horizontal="center"/>
    </xf>
    <xf numFmtId="0" fontId="22" fillId="14" borderId="17" xfId="30" applyFont="1" applyFill="1" applyBorder="1" applyAlignment="1">
      <alignment vertical="center" wrapText="1"/>
    </xf>
    <xf numFmtId="0" fontId="22" fillId="14" borderId="21" xfId="30" applyFont="1" applyFill="1" applyBorder="1" applyAlignment="1">
      <alignment vertical="center" wrapText="1"/>
    </xf>
    <xf numFmtId="0" fontId="22" fillId="14" borderId="22" xfId="30" applyFont="1" applyFill="1" applyBorder="1" applyAlignment="1">
      <alignment vertical="center" wrapText="1"/>
    </xf>
    <xf numFmtId="0" fontId="27" fillId="13" borderId="22" xfId="30" applyFont="1" applyFill="1" applyBorder="1" applyAlignment="1">
      <alignment horizontal="center" vertical="center" wrapText="1"/>
    </xf>
    <xf numFmtId="0" fontId="27" fillId="13" borderId="22" xfId="30" applyFont="1" applyFill="1" applyBorder="1" applyAlignment="1">
      <alignment horizontal="center" vertical="center" wrapText="1"/>
    </xf>
    <xf numFmtId="11" fontId="19" fillId="7" borderId="3" xfId="34" quotePrefix="1" applyNumberFormat="1" applyFill="1" applyBorder="1" applyAlignment="1">
      <alignment horizontal="center" vertical="center" wrapText="1"/>
    </xf>
    <xf numFmtId="11" fontId="19" fillId="25" borderId="3" xfId="34" quotePrefix="1" applyNumberFormat="1" applyFill="1" applyBorder="1" applyAlignment="1">
      <alignment horizontal="center" vertical="center" wrapText="1"/>
    </xf>
    <xf numFmtId="1" fontId="19" fillId="13" borderId="21" xfId="34" quotePrefix="1" applyNumberFormat="1" applyFill="1" applyBorder="1" applyAlignment="1">
      <alignment horizontal="center" vertical="center" wrapText="1"/>
    </xf>
    <xf numFmtId="0" fontId="20" fillId="0" borderId="0" xfId="30" applyAlignment="1">
      <alignment horizontal="center"/>
    </xf>
    <xf numFmtId="1" fontId="19" fillId="13" borderId="3" xfId="34" applyNumberFormat="1" applyFill="1" applyBorder="1" applyAlignment="1">
      <alignment horizontal="center" vertical="center" wrapText="1"/>
    </xf>
    <xf numFmtId="11" fontId="27" fillId="13" borderId="17" xfId="30" quotePrefix="1" applyNumberFormat="1" applyFont="1" applyFill="1" applyBorder="1" applyAlignment="1">
      <alignment horizontal="center" vertical="center" wrapText="1"/>
    </xf>
    <xf numFmtId="11" fontId="27" fillId="13" borderId="21" xfId="30" quotePrefix="1" applyNumberFormat="1" applyFont="1" applyFill="1" applyBorder="1" applyAlignment="1">
      <alignment horizontal="center" vertical="center" wrapText="1"/>
    </xf>
    <xf numFmtId="0" fontId="22" fillId="14" borderId="21" xfId="30" applyFont="1" applyFill="1" applyBorder="1" applyAlignment="1">
      <alignment horizontal="center" vertical="center" wrapText="1"/>
    </xf>
    <xf numFmtId="11" fontId="27" fillId="13" borderId="22" xfId="30" quotePrefix="1" applyNumberFormat="1" applyFont="1" applyFill="1" applyBorder="1" applyAlignment="1">
      <alignment vertical="center" wrapText="1"/>
    </xf>
    <xf numFmtId="0" fontId="29" fillId="12" borderId="3" xfId="30" applyFont="1" applyFill="1" applyBorder="1" applyAlignment="1">
      <alignment horizontal="center" vertical="center" wrapText="1"/>
    </xf>
    <xf numFmtId="0" fontId="21" fillId="0" borderId="0" xfId="30" applyFont="1" applyAlignment="1">
      <alignment horizontal="center"/>
    </xf>
    <xf numFmtId="0" fontId="30" fillId="8" borderId="19" xfId="30" applyFont="1" applyFill="1" applyBorder="1" applyAlignment="1">
      <alignment horizontal="center" vertical="center" wrapText="1"/>
    </xf>
    <xf numFmtId="0" fontId="24" fillId="8" borderId="23" xfId="30" applyFont="1" applyFill="1" applyBorder="1" applyAlignment="1">
      <alignment horizontal="center" vertical="center" wrapText="1"/>
    </xf>
    <xf numFmtId="0" fontId="24" fillId="8" borderId="18" xfId="30" applyFont="1" applyFill="1" applyBorder="1" applyAlignment="1">
      <alignment horizontal="center" vertical="center" wrapText="1"/>
    </xf>
    <xf numFmtId="0" fontId="22" fillId="14" borderId="3" xfId="30" applyFont="1" applyFill="1" applyBorder="1" applyAlignment="1">
      <alignment horizontal="center" vertical="center" wrapText="1"/>
    </xf>
    <xf numFmtId="0" fontId="23" fillId="14" borderId="3" xfId="30" applyFont="1" applyFill="1" applyBorder="1" applyAlignment="1">
      <alignment horizontal="center" vertical="center" wrapText="1"/>
    </xf>
    <xf numFmtId="0" fontId="23" fillId="14" borderId="17" xfId="30" applyFont="1" applyFill="1" applyBorder="1" applyAlignment="1">
      <alignment horizontal="center" vertical="center" wrapText="1"/>
    </xf>
    <xf numFmtId="0" fontId="23" fillId="14" borderId="22" xfId="30" applyFont="1" applyFill="1" applyBorder="1" applyAlignment="1">
      <alignment horizontal="center" vertical="center" wrapText="1"/>
    </xf>
    <xf numFmtId="1" fontId="29" fillId="12" borderId="17" xfId="30" applyNumberFormat="1" applyFont="1" applyFill="1" applyBorder="1" applyAlignment="1">
      <alignment horizontal="center" vertical="center" wrapText="1"/>
    </xf>
    <xf numFmtId="1" fontId="29" fillId="12" borderId="21" xfId="30" applyNumberFormat="1" applyFont="1" applyFill="1" applyBorder="1" applyAlignment="1">
      <alignment horizontal="center" vertical="center" wrapText="1"/>
    </xf>
    <xf numFmtId="0" fontId="23" fillId="14" borderId="21" xfId="30" applyFont="1" applyFill="1" applyBorder="1" applyAlignment="1">
      <alignment horizontal="center" vertical="center" wrapText="1"/>
    </xf>
    <xf numFmtId="0" fontId="22" fillId="14" borderId="20" xfId="30" applyFont="1" applyFill="1" applyBorder="1" applyAlignment="1">
      <alignment horizontal="center" vertical="center" wrapText="1"/>
    </xf>
    <xf numFmtId="0" fontId="22" fillId="14" borderId="25" xfId="30" applyFont="1" applyFill="1" applyBorder="1" applyAlignment="1">
      <alignment horizontal="center" vertical="center" wrapText="1"/>
    </xf>
    <xf numFmtId="0" fontId="29" fillId="12" borderId="17" xfId="30" applyFont="1" applyFill="1" applyBorder="1" applyAlignment="1">
      <alignment horizontal="center" vertical="center" wrapText="1"/>
    </xf>
    <xf numFmtId="0" fontId="29" fillId="12" borderId="21" xfId="30" applyFont="1" applyFill="1" applyBorder="1" applyAlignment="1">
      <alignment horizontal="center" vertical="center" wrapText="1"/>
    </xf>
    <xf numFmtId="1" fontId="29" fillId="12" borderId="3" xfId="30" applyNumberFormat="1" applyFont="1" applyFill="1" applyBorder="1" applyAlignment="1">
      <alignment horizontal="center" vertical="center" wrapText="1"/>
    </xf>
    <xf numFmtId="1" fontId="29" fillId="13" borderId="17" xfId="30" applyNumberFormat="1" applyFont="1" applyFill="1" applyBorder="1" applyAlignment="1">
      <alignment horizontal="center" vertical="center" wrapText="1"/>
    </xf>
    <xf numFmtId="1" fontId="29" fillId="13" borderId="21" xfId="30" applyNumberFormat="1" applyFont="1" applyFill="1" applyBorder="1" applyAlignment="1">
      <alignment horizontal="center" vertical="center" wrapText="1"/>
    </xf>
    <xf numFmtId="1" fontId="29" fillId="13" borderId="22" xfId="30" applyNumberFormat="1" applyFont="1" applyFill="1" applyBorder="1" applyAlignment="1">
      <alignment horizontal="center" vertical="center" wrapText="1"/>
    </xf>
    <xf numFmtId="0" fontId="29" fillId="13" borderId="3" xfId="30" applyFont="1" applyFill="1" applyBorder="1" applyAlignment="1">
      <alignment horizontal="center" vertical="center" wrapText="1"/>
    </xf>
    <xf numFmtId="0" fontId="29" fillId="13" borderId="17" xfId="30" applyFont="1" applyFill="1" applyBorder="1" applyAlignment="1">
      <alignment horizontal="center" vertical="center" wrapText="1"/>
    </xf>
    <xf numFmtId="0" fontId="29" fillId="13" borderId="21" xfId="30" applyFont="1" applyFill="1" applyBorder="1" applyAlignment="1">
      <alignment horizontal="center" vertical="center" wrapText="1"/>
    </xf>
    <xf numFmtId="0" fontId="29" fillId="13" borderId="22" xfId="30" applyFont="1" applyFill="1" applyBorder="1" applyAlignment="1">
      <alignment horizontal="center" vertical="center" wrapText="1"/>
    </xf>
    <xf numFmtId="1" fontId="29" fillId="13" borderId="3" xfId="30" applyNumberFormat="1" applyFont="1" applyFill="1" applyBorder="1" applyAlignment="1">
      <alignment horizontal="center" vertical="center" wrapText="1"/>
    </xf>
    <xf numFmtId="167" fontId="29" fillId="12" borderId="3" xfId="30" applyNumberFormat="1" applyFont="1" applyFill="1" applyBorder="1" applyAlignment="1">
      <alignment horizontal="center" vertical="center" wrapText="1"/>
    </xf>
    <xf numFmtId="0" fontId="29" fillId="16" borderId="21" xfId="30" applyFont="1" applyFill="1" applyBorder="1" applyAlignment="1">
      <alignment horizontal="center" vertical="center" wrapText="1"/>
    </xf>
    <xf numFmtId="1" fontId="29" fillId="12" borderId="22" xfId="30" applyNumberFormat="1" applyFont="1" applyFill="1" applyBorder="1" applyAlignment="1">
      <alignment horizontal="center" vertical="center" wrapText="1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6" xfId="0" applyBorder="1" applyAlignment="1">
      <alignment horizontal="center"/>
    </xf>
    <xf numFmtId="0" fontId="27" fillId="11" borderId="24" xfId="0" applyFont="1" applyFill="1" applyBorder="1" applyAlignment="1">
      <alignment horizontal="center" vertical="center"/>
    </xf>
    <xf numFmtId="0" fontId="37" fillId="14" borderId="17" xfId="30" applyFont="1" applyFill="1" applyBorder="1" applyAlignment="1">
      <alignment horizontal="center" vertical="center" wrapText="1"/>
    </xf>
    <xf numFmtId="0" fontId="37" fillId="14" borderId="22" xfId="30" applyFont="1" applyFill="1" applyBorder="1" applyAlignment="1">
      <alignment horizontal="center" vertical="center" wrapText="1"/>
    </xf>
    <xf numFmtId="11" fontId="33" fillId="13" borderId="17" xfId="30" quotePrefix="1" applyNumberFormat="1" applyFont="1" applyFill="1" applyBorder="1" applyAlignment="1">
      <alignment horizontal="center" vertical="center" wrapText="1"/>
    </xf>
    <xf numFmtId="11" fontId="33" fillId="13" borderId="21" xfId="30" quotePrefix="1" applyNumberFormat="1" applyFont="1" applyFill="1" applyBorder="1" applyAlignment="1">
      <alignment horizontal="center" vertical="center" wrapText="1"/>
    </xf>
    <xf numFmtId="11" fontId="33" fillId="13" borderId="22" xfId="30" quotePrefix="1" applyNumberFormat="1" applyFont="1" applyFill="1" applyBorder="1" applyAlignment="1">
      <alignment horizontal="center" vertical="center" wrapText="1"/>
    </xf>
    <xf numFmtId="11" fontId="42" fillId="17" borderId="17" xfId="34" quotePrefix="1" applyNumberFormat="1" applyFont="1" applyFill="1" applyBorder="1" applyAlignment="1">
      <alignment horizontal="center" vertical="center" wrapText="1"/>
    </xf>
    <xf numFmtId="11" fontId="42" fillId="17" borderId="21" xfId="34" quotePrefix="1" applyNumberFormat="1" applyFont="1" applyFill="1" applyBorder="1" applyAlignment="1">
      <alignment horizontal="center" vertical="center" wrapText="1"/>
    </xf>
    <xf numFmtId="11" fontId="42" fillId="17" borderId="22" xfId="34" quotePrefix="1" applyNumberFormat="1" applyFont="1" applyFill="1" applyBorder="1" applyAlignment="1">
      <alignment horizontal="center" vertical="center" wrapText="1"/>
    </xf>
    <xf numFmtId="1" fontId="27" fillId="18" borderId="17" xfId="30" applyNumberFormat="1" applyFont="1" applyFill="1" applyBorder="1" applyAlignment="1">
      <alignment horizontal="center" vertical="center" wrapText="1"/>
    </xf>
    <xf numFmtId="1" fontId="27" fillId="18" borderId="21" xfId="30" applyNumberFormat="1" applyFont="1" applyFill="1" applyBorder="1" applyAlignment="1">
      <alignment horizontal="center" vertical="center" wrapText="1"/>
    </xf>
    <xf numFmtId="1" fontId="27" fillId="18" borderId="22" xfId="30" applyNumberFormat="1" applyFont="1" applyFill="1" applyBorder="1" applyAlignment="1">
      <alignment horizontal="center" vertical="center" wrapText="1"/>
    </xf>
    <xf numFmtId="1" fontId="27" fillId="13" borderId="17" xfId="30" applyNumberFormat="1" applyFont="1" applyFill="1" applyBorder="1" applyAlignment="1">
      <alignment horizontal="center" vertical="center" wrapText="1"/>
    </xf>
    <xf numFmtId="1" fontId="27" fillId="13" borderId="21" xfId="30" applyNumberFormat="1" applyFont="1" applyFill="1" applyBorder="1" applyAlignment="1">
      <alignment horizontal="center" vertical="center" wrapText="1"/>
    </xf>
    <xf numFmtId="1" fontId="27" fillId="13" borderId="22" xfId="30" applyNumberFormat="1" applyFont="1" applyFill="1" applyBorder="1" applyAlignment="1">
      <alignment horizontal="center" vertical="center" wrapText="1"/>
    </xf>
    <xf numFmtId="1" fontId="27" fillId="25" borderId="21" xfId="30" applyNumberFormat="1" applyFont="1" applyFill="1" applyBorder="1" applyAlignment="1">
      <alignment horizontal="center" vertical="center" wrapText="1"/>
    </xf>
    <xf numFmtId="1" fontId="27" fillId="25" borderId="22" xfId="30" applyNumberFormat="1" applyFont="1" applyFill="1" applyBorder="1" applyAlignment="1">
      <alignment horizontal="center" vertical="center" wrapText="1"/>
    </xf>
    <xf numFmtId="1" fontId="27" fillId="24" borderId="17" xfId="30" applyNumberFormat="1" applyFont="1" applyFill="1" applyBorder="1" applyAlignment="1">
      <alignment horizontal="center" vertical="center" wrapText="1"/>
    </xf>
    <xf numFmtId="1" fontId="27" fillId="24" borderId="21" xfId="30" applyNumberFormat="1" applyFont="1" applyFill="1" applyBorder="1" applyAlignment="1">
      <alignment horizontal="center" vertical="center" wrapText="1"/>
    </xf>
    <xf numFmtId="1" fontId="27" fillId="24" borderId="22" xfId="30" applyNumberFormat="1" applyFont="1" applyFill="1" applyBorder="1" applyAlignment="1">
      <alignment horizontal="center" vertical="center" wrapText="1"/>
    </xf>
    <xf numFmtId="0" fontId="27" fillId="23" borderId="21" xfId="30" applyFont="1" applyFill="1" applyBorder="1" applyAlignment="1">
      <alignment horizontal="center" vertical="center" wrapText="1"/>
    </xf>
    <xf numFmtId="0" fontId="27" fillId="23" borderId="22" xfId="30" applyFont="1" applyFill="1" applyBorder="1" applyAlignment="1">
      <alignment horizontal="center" vertical="center" wrapText="1"/>
    </xf>
    <xf numFmtId="0" fontId="27" fillId="24" borderId="17" xfId="30" applyFont="1" applyFill="1" applyBorder="1" applyAlignment="1">
      <alignment horizontal="center" vertical="center" wrapText="1"/>
    </xf>
    <xf numFmtId="0" fontId="27" fillId="24" borderId="21" xfId="30" applyFont="1" applyFill="1" applyBorder="1" applyAlignment="1">
      <alignment horizontal="center" vertical="center" wrapText="1"/>
    </xf>
    <xf numFmtId="0" fontId="27" fillId="24" borderId="22" xfId="30" applyFont="1" applyFill="1" applyBorder="1" applyAlignment="1">
      <alignment horizontal="center" vertical="center" wrapText="1"/>
    </xf>
    <xf numFmtId="1" fontId="27" fillId="17" borderId="17" xfId="30" quotePrefix="1" applyNumberFormat="1" applyFont="1" applyFill="1" applyBorder="1" applyAlignment="1">
      <alignment horizontal="center" vertical="center" wrapText="1"/>
    </xf>
    <xf numFmtId="1" fontId="27" fillId="17" borderId="21" xfId="30" quotePrefix="1" applyNumberFormat="1" applyFont="1" applyFill="1" applyBorder="1" applyAlignment="1">
      <alignment horizontal="center" vertical="center" wrapText="1"/>
    </xf>
    <xf numFmtId="1" fontId="27" fillId="17" borderId="22" xfId="30" quotePrefix="1" applyNumberFormat="1" applyFont="1" applyFill="1" applyBorder="1" applyAlignment="1">
      <alignment horizontal="center" vertical="center" wrapText="1"/>
    </xf>
    <xf numFmtId="11" fontId="27" fillId="25" borderId="17" xfId="30" quotePrefix="1" applyNumberFormat="1" applyFont="1" applyFill="1" applyBorder="1" applyAlignment="1">
      <alignment horizontal="center" vertical="center" wrapText="1"/>
    </xf>
    <xf numFmtId="11" fontId="27" fillId="25" borderId="21" xfId="30" quotePrefix="1" applyNumberFormat="1" applyFont="1" applyFill="1" applyBorder="1" applyAlignment="1">
      <alignment horizontal="center" vertical="center" wrapText="1"/>
    </xf>
    <xf numFmtId="11" fontId="27" fillId="25" borderId="22" xfId="30" quotePrefix="1" applyNumberFormat="1" applyFont="1" applyFill="1" applyBorder="1" applyAlignment="1">
      <alignment horizontal="center" vertical="center" wrapText="1"/>
    </xf>
    <xf numFmtId="1" fontId="41" fillId="7" borderId="17" xfId="34" quotePrefix="1" applyNumberFormat="1" applyFont="1" applyFill="1" applyBorder="1" applyAlignment="1">
      <alignment horizontal="center" vertical="center" wrapText="1"/>
    </xf>
    <xf numFmtId="1" fontId="41" fillId="7" borderId="21" xfId="34" quotePrefix="1" applyNumberFormat="1" applyFont="1" applyFill="1" applyBorder="1" applyAlignment="1">
      <alignment horizontal="center" vertical="center" wrapText="1"/>
    </xf>
    <xf numFmtId="1" fontId="41" fillId="7" borderId="22" xfId="34" quotePrefix="1" applyNumberFormat="1" applyFont="1" applyFill="1" applyBorder="1" applyAlignment="1">
      <alignment horizontal="center" vertical="center" wrapText="1"/>
    </xf>
    <xf numFmtId="0" fontId="40" fillId="8" borderId="17" xfId="30" applyFont="1" applyFill="1" applyBorder="1" applyAlignment="1">
      <alignment horizontal="center" vertical="center" wrapText="1"/>
    </xf>
    <xf numFmtId="0" fontId="40" fillId="8" borderId="22" xfId="30" applyFont="1" applyFill="1" applyBorder="1" applyAlignment="1">
      <alignment horizontal="center" vertical="center" wrapText="1"/>
    </xf>
    <xf numFmtId="0" fontId="38" fillId="14" borderId="17" xfId="30" applyFont="1" applyFill="1" applyBorder="1" applyAlignment="1">
      <alignment horizontal="center" vertical="center" wrapText="1"/>
    </xf>
    <xf numFmtId="0" fontId="38" fillId="14" borderId="22" xfId="30" applyFont="1" applyFill="1" applyBorder="1" applyAlignment="1">
      <alignment horizontal="center" vertical="center" wrapText="1"/>
    </xf>
    <xf numFmtId="0" fontId="34" fillId="14" borderId="17" xfId="30" applyFont="1" applyFill="1" applyBorder="1" applyAlignment="1">
      <alignment horizontal="center" vertical="center" wrapText="1"/>
    </xf>
    <xf numFmtId="0" fontId="34" fillId="14" borderId="22" xfId="30" applyFont="1" applyFill="1" applyBorder="1" applyAlignment="1">
      <alignment horizontal="center" vertical="center" wrapText="1"/>
    </xf>
    <xf numFmtId="1" fontId="27" fillId="17" borderId="17" xfId="30" applyNumberFormat="1" applyFont="1" applyFill="1" applyBorder="1" applyAlignment="1">
      <alignment horizontal="center" vertical="center" wrapText="1"/>
    </xf>
    <xf numFmtId="1" fontId="27" fillId="17" borderId="21" xfId="30" applyNumberFormat="1" applyFont="1" applyFill="1" applyBorder="1" applyAlignment="1">
      <alignment horizontal="center" vertical="center" wrapText="1"/>
    </xf>
    <xf numFmtId="1" fontId="27" fillId="23" borderId="21" xfId="30" applyNumberFormat="1" applyFont="1" applyFill="1" applyBorder="1" applyAlignment="1">
      <alignment horizontal="center" vertical="center" wrapText="1"/>
    </xf>
    <xf numFmtId="1" fontId="27" fillId="23" borderId="17" xfId="30" applyNumberFormat="1" applyFont="1" applyFill="1" applyBorder="1" applyAlignment="1">
      <alignment horizontal="center" vertical="center" wrapText="1"/>
    </xf>
    <xf numFmtId="1" fontId="27" fillId="23" borderId="22" xfId="30" applyNumberFormat="1" applyFont="1" applyFill="1" applyBorder="1" applyAlignment="1">
      <alignment horizontal="center" vertical="center" wrapText="1"/>
    </xf>
    <xf numFmtId="0" fontId="34" fillId="14" borderId="21" xfId="30" applyFont="1" applyFill="1" applyBorder="1" applyAlignment="1">
      <alignment horizontal="center" vertical="center" wrapText="1"/>
    </xf>
    <xf numFmtId="0" fontId="39" fillId="8" borderId="32" xfId="30" applyFont="1" applyFill="1" applyBorder="1" applyAlignment="1">
      <alignment horizontal="center" vertical="center" wrapText="1"/>
    </xf>
    <xf numFmtId="0" fontId="39" fillId="8" borderId="30" xfId="30" applyFont="1" applyFill="1" applyBorder="1" applyAlignment="1">
      <alignment horizontal="center" vertical="center" wrapText="1"/>
    </xf>
    <xf numFmtId="0" fontId="34" fillId="14" borderId="20" xfId="30" applyFont="1" applyFill="1" applyBorder="1" applyAlignment="1">
      <alignment horizontal="center" vertical="center" wrapText="1"/>
    </xf>
    <xf numFmtId="0" fontId="34" fillId="14" borderId="25" xfId="30" applyFont="1" applyFill="1" applyBorder="1" applyAlignment="1">
      <alignment horizontal="center" vertical="center" wrapText="1"/>
    </xf>
    <xf numFmtId="0" fontId="39" fillId="8" borderId="19" xfId="30" applyFont="1" applyFill="1" applyBorder="1" applyAlignment="1">
      <alignment horizontal="center" vertical="center" wrapText="1"/>
    </xf>
    <xf numFmtId="0" fontId="39" fillId="8" borderId="23" xfId="30" applyFont="1" applyFill="1" applyBorder="1" applyAlignment="1">
      <alignment horizontal="center" vertical="center" wrapText="1"/>
    </xf>
    <xf numFmtId="0" fontId="39" fillId="8" borderId="18" xfId="30" applyFont="1" applyFill="1" applyBorder="1" applyAlignment="1">
      <alignment horizontal="center" vertical="center" wrapText="1"/>
    </xf>
    <xf numFmtId="1" fontId="27" fillId="17" borderId="22" xfId="30" applyNumberFormat="1" applyFont="1" applyFill="1" applyBorder="1" applyAlignment="1">
      <alignment horizontal="center" vertical="center" wrapText="1"/>
    </xf>
    <xf numFmtId="0" fontId="21" fillId="0" borderId="0" xfId="30" applyFont="1" applyBorder="1" applyAlignment="1">
      <alignment horizontal="center" vertical="center"/>
    </xf>
    <xf numFmtId="0" fontId="21" fillId="0" borderId="25" xfId="30" applyFont="1" applyBorder="1" applyAlignment="1">
      <alignment horizontal="center" vertical="center"/>
    </xf>
    <xf numFmtId="0" fontId="22" fillId="14" borderId="17" xfId="30" applyFont="1" applyFill="1" applyBorder="1" applyAlignment="1">
      <alignment horizontal="center" vertical="center" wrapText="1"/>
    </xf>
    <xf numFmtId="0" fontId="22" fillId="14" borderId="22" xfId="30" applyFont="1" applyFill="1" applyBorder="1" applyAlignment="1">
      <alignment horizontal="center" vertical="center" wrapText="1"/>
    </xf>
    <xf numFmtId="1" fontId="27" fillId="21" borderId="17" xfId="30" applyNumberFormat="1" applyFont="1" applyFill="1" applyBorder="1" applyAlignment="1">
      <alignment horizontal="center" vertical="center" wrapText="1"/>
    </xf>
    <xf numFmtId="1" fontId="27" fillId="21" borderId="21" xfId="30" applyNumberFormat="1" applyFont="1" applyFill="1" applyBorder="1" applyAlignment="1">
      <alignment horizontal="center" vertical="center" wrapText="1"/>
    </xf>
    <xf numFmtId="1" fontId="27" fillId="21" borderId="22" xfId="30" applyNumberFormat="1" applyFont="1" applyFill="1" applyBorder="1" applyAlignment="1">
      <alignment horizontal="center" vertical="center" wrapText="1"/>
    </xf>
    <xf numFmtId="1" fontId="27" fillId="26" borderId="17" xfId="30" applyNumberFormat="1" applyFont="1" applyFill="1" applyBorder="1" applyAlignment="1">
      <alignment horizontal="center" vertical="center" wrapText="1"/>
    </xf>
    <xf numFmtId="1" fontId="27" fillId="26" borderId="21" xfId="30" applyNumberFormat="1" applyFont="1" applyFill="1" applyBorder="1" applyAlignment="1">
      <alignment horizontal="center" vertical="center" wrapText="1"/>
    </xf>
    <xf numFmtId="1" fontId="27" fillId="26" borderId="22" xfId="30" applyNumberFormat="1" applyFont="1" applyFill="1" applyBorder="1" applyAlignment="1">
      <alignment horizontal="center" vertical="center" wrapText="1"/>
    </xf>
    <xf numFmtId="0" fontId="27" fillId="25" borderId="17" xfId="30" applyFont="1" applyFill="1" applyBorder="1" applyAlignment="1">
      <alignment horizontal="center" vertical="center" wrapText="1"/>
    </xf>
    <xf numFmtId="0" fontId="27" fillId="25" borderId="21" xfId="30" applyFont="1" applyFill="1" applyBorder="1" applyAlignment="1">
      <alignment horizontal="center" vertical="center" wrapText="1"/>
    </xf>
    <xf numFmtId="0" fontId="27" fillId="25" borderId="22" xfId="30" applyFont="1" applyFill="1" applyBorder="1" applyAlignment="1">
      <alignment horizontal="center" vertical="center" wrapText="1"/>
    </xf>
    <xf numFmtId="0" fontId="27" fillId="13" borderId="3" xfId="30" applyFont="1" applyFill="1" applyBorder="1" applyAlignment="1">
      <alignment horizontal="center" vertical="center" wrapText="1"/>
    </xf>
    <xf numFmtId="0" fontId="27" fillId="18" borderId="21" xfId="30" applyFont="1" applyFill="1" applyBorder="1" applyAlignment="1">
      <alignment horizontal="center" vertical="center" wrapText="1"/>
    </xf>
    <xf numFmtId="0" fontId="27" fillId="18" borderId="22" xfId="30" applyFont="1" applyFill="1" applyBorder="1" applyAlignment="1">
      <alignment horizontal="center" vertical="center" wrapText="1"/>
    </xf>
    <xf numFmtId="0" fontId="27" fillId="17" borderId="20" xfId="30" applyFont="1" applyFill="1" applyBorder="1" applyAlignment="1">
      <alignment horizontal="center" vertical="center" wrapText="1"/>
    </xf>
    <xf numFmtId="0" fontId="27" fillId="17" borderId="25" xfId="30" applyFont="1" applyFill="1" applyBorder="1" applyAlignment="1">
      <alignment horizontal="center" vertical="center" wrapText="1"/>
    </xf>
    <xf numFmtId="0" fontId="27" fillId="17" borderId="29" xfId="30" applyFont="1" applyFill="1" applyBorder="1" applyAlignment="1">
      <alignment horizontal="center" vertical="center" wrapText="1"/>
    </xf>
    <xf numFmtId="0" fontId="27" fillId="17" borderId="17" xfId="30" applyFont="1" applyFill="1" applyBorder="1" applyAlignment="1">
      <alignment horizontal="center" vertical="center" wrapText="1"/>
    </xf>
    <xf numFmtId="0" fontId="27" fillId="17" borderId="21" xfId="30" applyFont="1" applyFill="1" applyBorder="1" applyAlignment="1">
      <alignment horizontal="center" vertical="center" wrapText="1"/>
    </xf>
    <xf numFmtId="0" fontId="27" fillId="17" borderId="22" xfId="30" applyFont="1" applyFill="1" applyBorder="1" applyAlignment="1">
      <alignment horizontal="center" vertical="center" wrapText="1"/>
    </xf>
    <xf numFmtId="0" fontId="33" fillId="7" borderId="17" xfId="30" applyFont="1" applyFill="1" applyBorder="1" applyAlignment="1">
      <alignment horizontal="center" vertical="center" wrapText="1"/>
    </xf>
    <xf numFmtId="0" fontId="33" fillId="7" borderId="21" xfId="30" applyFont="1" applyFill="1" applyBorder="1" applyAlignment="1">
      <alignment horizontal="center" vertical="center" wrapText="1"/>
    </xf>
    <xf numFmtId="0" fontId="33" fillId="7" borderId="22" xfId="30" applyFont="1" applyFill="1" applyBorder="1" applyAlignment="1">
      <alignment horizontal="center" vertical="center" wrapText="1"/>
    </xf>
    <xf numFmtId="1" fontId="33" fillId="25" borderId="17" xfId="30" applyNumberFormat="1" applyFont="1" applyFill="1" applyBorder="1" applyAlignment="1">
      <alignment horizontal="center" vertical="center" wrapText="1"/>
    </xf>
    <xf numFmtId="1" fontId="33" fillId="25" borderId="21" xfId="30" applyNumberFormat="1" applyFont="1" applyFill="1" applyBorder="1" applyAlignment="1">
      <alignment horizontal="center" vertical="center" wrapText="1"/>
    </xf>
    <xf numFmtId="1" fontId="33" fillId="25" borderId="22" xfId="30" applyNumberFormat="1" applyFont="1" applyFill="1" applyBorder="1" applyAlignment="1">
      <alignment horizontal="center" vertical="center" wrapText="1"/>
    </xf>
    <xf numFmtId="0" fontId="27" fillId="23" borderId="25" xfId="30" applyFont="1" applyFill="1" applyBorder="1" applyAlignment="1">
      <alignment horizontal="center" vertical="center" wrapText="1"/>
    </xf>
    <xf numFmtId="0" fontId="27" fillId="23" borderId="29" xfId="30" applyFont="1" applyFill="1" applyBorder="1" applyAlignment="1">
      <alignment horizontal="center" vertical="center" wrapText="1"/>
    </xf>
    <xf numFmtId="0" fontId="33" fillId="16" borderId="25" xfId="30" applyFont="1" applyFill="1" applyBorder="1" applyAlignment="1">
      <alignment horizontal="center" vertical="center" wrapText="1"/>
    </xf>
    <xf numFmtId="0" fontId="22" fillId="14" borderId="21" xfId="30" applyFont="1" applyFill="1" applyBorder="1" applyAlignment="1">
      <alignment horizontal="center" vertical="center" wrapText="1"/>
    </xf>
    <xf numFmtId="0" fontId="27" fillId="21" borderId="20" xfId="30" applyFont="1" applyFill="1" applyBorder="1" applyAlignment="1">
      <alignment horizontal="center"/>
    </xf>
    <xf numFmtId="0" fontId="27" fillId="21" borderId="25" xfId="30" applyFont="1" applyFill="1" applyBorder="1" applyAlignment="1">
      <alignment horizontal="center"/>
    </xf>
    <xf numFmtId="0" fontId="27" fillId="21" borderId="29" xfId="30" applyFont="1" applyFill="1" applyBorder="1" applyAlignment="1">
      <alignment horizontal="center"/>
    </xf>
    <xf numFmtId="0" fontId="27" fillId="13" borderId="17" xfId="30" applyFont="1" applyFill="1" applyBorder="1" applyAlignment="1">
      <alignment horizontal="center" vertical="center" wrapText="1"/>
    </xf>
    <xf numFmtId="0" fontId="27" fillId="13" borderId="21" xfId="30" applyFont="1" applyFill="1" applyBorder="1" applyAlignment="1">
      <alignment horizontal="center" vertical="center" wrapText="1"/>
    </xf>
    <xf numFmtId="0" fontId="27" fillId="13" borderId="22" xfId="30" applyFont="1" applyFill="1" applyBorder="1" applyAlignment="1">
      <alignment horizontal="center" vertical="center" wrapText="1"/>
    </xf>
    <xf numFmtId="0" fontId="35" fillId="18" borderId="20" xfId="30" applyFont="1" applyFill="1" applyBorder="1" applyAlignment="1">
      <alignment horizontal="center" vertical="center"/>
    </xf>
    <xf numFmtId="0" fontId="35" fillId="18" borderId="25" xfId="30" applyFont="1" applyFill="1" applyBorder="1" applyAlignment="1">
      <alignment horizontal="center" vertical="center"/>
    </xf>
    <xf numFmtId="0" fontId="35" fillId="18" borderId="29" xfId="30" applyFont="1" applyFill="1" applyBorder="1" applyAlignment="1">
      <alignment horizontal="center" vertical="center"/>
    </xf>
    <xf numFmtId="0" fontId="27" fillId="13" borderId="20" xfId="30" applyFont="1" applyFill="1" applyBorder="1" applyAlignment="1">
      <alignment horizontal="center" vertical="center" wrapText="1"/>
    </xf>
    <xf numFmtId="0" fontId="27" fillId="13" borderId="25" xfId="30" applyFont="1" applyFill="1" applyBorder="1" applyAlignment="1">
      <alignment horizontal="center" vertical="center" wrapText="1"/>
    </xf>
    <xf numFmtId="0" fontId="27" fillId="13" borderId="29" xfId="30" applyFont="1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27" borderId="36" xfId="0" applyFill="1" applyBorder="1" applyAlignment="1">
      <alignment horizontal="center"/>
    </xf>
    <xf numFmtId="0" fontId="0" fillId="27" borderId="37" xfId="0" applyFill="1" applyBorder="1" applyAlignment="1">
      <alignment horizontal="center"/>
    </xf>
    <xf numFmtId="0" fontId="0" fillId="27" borderId="11" xfId="0" applyFill="1" applyBorder="1" applyAlignment="1">
      <alignment horizontal="center"/>
    </xf>
    <xf numFmtId="0" fontId="0" fillId="27" borderId="12" xfId="0" applyFill="1" applyBorder="1" applyAlignment="1">
      <alignment horizontal="center"/>
    </xf>
  </cellXfs>
  <cellStyles count="35">
    <cellStyle name="20% - Accent1" xfId="19" xr:uid="{00000000-0005-0000-0000-000000000000}"/>
    <cellStyle name="20% - Accent1 2" xfId="15" xr:uid="{00000000-0005-0000-0000-000001000000}"/>
    <cellStyle name="20% - Accent1 2 2" xfId="25" xr:uid="{00000000-0005-0000-0000-000002000000}"/>
    <cellStyle name="20% - Accent1 3" xfId="29" xr:uid="{00000000-0005-0000-0000-000003000000}"/>
    <cellStyle name="40% - Accent1 2" xfId="18" xr:uid="{00000000-0005-0000-0000-000004000000}"/>
    <cellStyle name="40% - Accent4 2" xfId="17" xr:uid="{00000000-0005-0000-0000-000005000000}"/>
    <cellStyle name="Heading 1 2" xfId="2" xr:uid="{00000000-0005-0000-0000-000006000000}"/>
    <cellStyle name="Hyperlink" xfId="34" builtinId="8"/>
    <cellStyle name="Hyperlink 2" xfId="20" xr:uid="{00000000-0005-0000-0000-000008000000}"/>
    <cellStyle name="Hyperlink 3" xfId="31" xr:uid="{00000000-0005-0000-0000-000009000000}"/>
    <cellStyle name="Hyperlink 4" xfId="32" xr:uid="{00000000-0005-0000-0000-00000A000000}"/>
    <cellStyle name="Normal" xfId="0" builtinId="0"/>
    <cellStyle name="Normal 10" xfId="16" xr:uid="{00000000-0005-0000-0000-00000C000000}"/>
    <cellStyle name="Normal 11" xfId="22" xr:uid="{00000000-0005-0000-0000-00000D000000}"/>
    <cellStyle name="Normal 12" xfId="26" xr:uid="{00000000-0005-0000-0000-00000E000000}"/>
    <cellStyle name="Normal 13" xfId="30" xr:uid="{00000000-0005-0000-0000-00000F000000}"/>
    <cellStyle name="Normal 2" xfId="3" xr:uid="{00000000-0005-0000-0000-000010000000}"/>
    <cellStyle name="Normal 2 2" xfId="4" xr:uid="{00000000-0005-0000-0000-000011000000}"/>
    <cellStyle name="Normal 2 3" xfId="33" xr:uid="{00000000-0005-0000-0000-000012000000}"/>
    <cellStyle name="Normal 3" xfId="5" xr:uid="{00000000-0005-0000-0000-000013000000}"/>
    <cellStyle name="Normal 3 2" xfId="6" xr:uid="{00000000-0005-0000-0000-000014000000}"/>
    <cellStyle name="Normal 4" xfId="7" xr:uid="{00000000-0005-0000-0000-000015000000}"/>
    <cellStyle name="Normal 5" xfId="8" xr:uid="{00000000-0005-0000-0000-000016000000}"/>
    <cellStyle name="Normal 6" xfId="9" xr:uid="{00000000-0005-0000-0000-000017000000}"/>
    <cellStyle name="Normal 6 2" xfId="13" xr:uid="{00000000-0005-0000-0000-000018000000}"/>
    <cellStyle name="Normal 6 2 2" xfId="23" xr:uid="{00000000-0005-0000-0000-000019000000}"/>
    <cellStyle name="Normal 6 3" xfId="27" xr:uid="{00000000-0005-0000-0000-00001A000000}"/>
    <cellStyle name="Normal 7" xfId="10" xr:uid="{00000000-0005-0000-0000-00001B000000}"/>
    <cellStyle name="Normal 7 2" xfId="14" xr:uid="{00000000-0005-0000-0000-00001C000000}"/>
    <cellStyle name="Normal 7 2 2" xfId="24" xr:uid="{00000000-0005-0000-0000-00001D000000}"/>
    <cellStyle name="Normal 7 3" xfId="28" xr:uid="{00000000-0005-0000-0000-00001E000000}"/>
    <cellStyle name="Normal 8" xfId="11" xr:uid="{00000000-0005-0000-0000-00001F000000}"/>
    <cellStyle name="Normal 8 2" xfId="21" xr:uid="{00000000-0005-0000-0000-000020000000}"/>
    <cellStyle name="Normal 9" xfId="1" xr:uid="{00000000-0005-0000-0000-000021000000}"/>
    <cellStyle name="Private" xfId="12" xr:uid="{00000000-0005-0000-0000-000022000000}"/>
  </cellStyles>
  <dxfs count="38">
    <dxf>
      <fill>
        <patternFill>
          <bgColor rgb="FFFF0000"/>
        </patternFill>
      </fill>
    </dxf>
    <dxf>
      <fill>
        <patternFill>
          <bgColor rgb="FF00823B"/>
        </patternFill>
      </fill>
    </dxf>
    <dxf>
      <fill>
        <patternFill>
          <bgColor rgb="FFFF0000"/>
        </patternFill>
      </fill>
    </dxf>
    <dxf>
      <fill>
        <patternFill>
          <bgColor rgb="FF00823B"/>
        </patternFill>
      </fill>
    </dxf>
    <dxf>
      <fill>
        <patternFill>
          <bgColor rgb="FFFF0000"/>
        </patternFill>
      </fill>
    </dxf>
    <dxf>
      <fill>
        <patternFill>
          <bgColor rgb="FF00823B"/>
        </patternFill>
      </fill>
    </dxf>
    <dxf>
      <fill>
        <patternFill>
          <bgColor rgb="FFFF0000"/>
        </patternFill>
      </fill>
    </dxf>
    <dxf>
      <fill>
        <patternFill>
          <bgColor rgb="FF00823B"/>
        </patternFill>
      </fill>
    </dxf>
    <dxf>
      <fill>
        <patternFill>
          <bgColor rgb="FFFF0000"/>
        </patternFill>
      </fill>
    </dxf>
    <dxf>
      <fill>
        <patternFill>
          <bgColor rgb="FF00823B"/>
        </patternFill>
      </fill>
    </dxf>
    <dxf>
      <fill>
        <patternFill>
          <bgColor rgb="FFFF0000"/>
        </patternFill>
      </fill>
    </dxf>
    <dxf>
      <fill>
        <patternFill>
          <bgColor rgb="FF00823B"/>
        </patternFill>
      </fill>
    </dxf>
    <dxf>
      <fill>
        <patternFill>
          <bgColor rgb="FFFF0000"/>
        </patternFill>
      </fill>
    </dxf>
    <dxf>
      <fill>
        <patternFill>
          <bgColor rgb="FF00823B"/>
        </patternFill>
      </fill>
    </dxf>
    <dxf>
      <fill>
        <patternFill>
          <bgColor rgb="FFFF0000"/>
        </patternFill>
      </fill>
    </dxf>
    <dxf>
      <fill>
        <patternFill>
          <bgColor rgb="FF00823B"/>
        </patternFill>
      </fill>
    </dxf>
    <dxf>
      <fill>
        <patternFill>
          <bgColor rgb="FFFF0000"/>
        </patternFill>
      </fill>
    </dxf>
    <dxf>
      <fill>
        <patternFill>
          <bgColor rgb="FF00823B"/>
        </patternFill>
      </fill>
    </dxf>
    <dxf>
      <fill>
        <patternFill>
          <bgColor rgb="FFFF0000"/>
        </patternFill>
      </fill>
    </dxf>
    <dxf>
      <fill>
        <patternFill>
          <bgColor rgb="FF00823B"/>
        </patternFill>
      </fill>
    </dxf>
    <dxf>
      <fill>
        <patternFill>
          <bgColor rgb="FFFF0000"/>
        </patternFill>
      </fill>
    </dxf>
    <dxf>
      <fill>
        <patternFill>
          <bgColor rgb="FF00823B"/>
        </patternFill>
      </fill>
    </dxf>
    <dxf>
      <fill>
        <patternFill>
          <bgColor rgb="FFFF0000"/>
        </patternFill>
      </fill>
    </dxf>
    <dxf>
      <fill>
        <patternFill>
          <bgColor rgb="FF00823B"/>
        </patternFill>
      </fill>
    </dxf>
    <dxf>
      <fill>
        <patternFill>
          <bgColor rgb="FFFF0000"/>
        </patternFill>
      </fill>
    </dxf>
    <dxf>
      <fill>
        <patternFill>
          <bgColor rgb="FF00823B"/>
        </patternFill>
      </fill>
    </dxf>
    <dxf>
      <fill>
        <patternFill>
          <bgColor rgb="FFFF0000"/>
        </patternFill>
      </fill>
    </dxf>
    <dxf>
      <fill>
        <patternFill>
          <bgColor rgb="FF00823B"/>
        </patternFill>
      </fill>
    </dxf>
    <dxf>
      <fill>
        <patternFill>
          <bgColor rgb="FFFF0000"/>
        </patternFill>
      </fill>
    </dxf>
    <dxf>
      <fill>
        <patternFill>
          <bgColor rgb="FF00823B"/>
        </patternFill>
      </fill>
    </dxf>
    <dxf>
      <fill>
        <patternFill>
          <bgColor rgb="FFFF0000"/>
        </patternFill>
      </fill>
    </dxf>
    <dxf>
      <fill>
        <patternFill>
          <bgColor rgb="FF00823B"/>
        </patternFill>
      </fill>
    </dxf>
    <dxf>
      <fill>
        <patternFill>
          <bgColor rgb="FFFF0000"/>
        </patternFill>
      </fill>
    </dxf>
    <dxf>
      <fill>
        <patternFill>
          <bgColor rgb="FF00823B"/>
        </patternFill>
      </fill>
    </dxf>
    <dxf>
      <fill>
        <patternFill>
          <bgColor rgb="FFFF0000"/>
        </patternFill>
      </fill>
    </dxf>
    <dxf>
      <fill>
        <patternFill>
          <bgColor rgb="FF00823B"/>
        </patternFill>
      </fill>
    </dxf>
    <dxf>
      <fill>
        <patternFill>
          <bgColor rgb="FFFF0000"/>
        </patternFill>
      </fill>
    </dxf>
    <dxf>
      <fill>
        <patternFill>
          <bgColor rgb="FF00823B"/>
        </patternFill>
      </fill>
    </dxf>
  </dxfs>
  <tableStyles count="1" defaultTableStyle="TableStyleMedium2" defaultPivotStyle="PivotStyleLight16">
    <tableStyle name="Table Style 1" pivot="0" count="0" xr9:uid="{00000000-0011-0000-FFFF-FFFF00000000}"/>
  </tableStyles>
  <colors>
    <mruColors>
      <color rgb="FFFCDDC4"/>
      <color rgb="FFFAC498"/>
      <color rgb="FFFCD2EA"/>
      <color rgb="FFFDE7FE"/>
      <color rgb="FFE0A9F1"/>
      <color rgb="FFABE472"/>
      <color rgb="FF5E9E1E"/>
      <color rgb="FF00823B"/>
      <color rgb="FFFF5B5B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10" Type="http://schemas.openxmlformats.org/officeDocument/2006/relationships/externalLink" Target="externalLinks/externalLink2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1</xdr:col>
      <xdr:colOff>905435</xdr:colOff>
      <xdr:row>17</xdr:row>
      <xdr:rowOff>101413</xdr:rowOff>
    </xdr:to>
    <xdr:sp macro="[0]!GOEM_High_18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83559" y="3092824"/>
          <a:ext cx="905435" cy="740148"/>
        </a:xfrm>
        <a:prstGeom prst="rect">
          <a:avLst/>
        </a:prstGeom>
        <a:solidFill>
          <a:srgbClr val="92D050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GOEM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905435</xdr:colOff>
      <xdr:row>5</xdr:row>
      <xdr:rowOff>101413</xdr:rowOff>
    </xdr:to>
    <xdr:sp macro="[0]!Retail_6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83559" y="515471"/>
          <a:ext cx="905435" cy="740148"/>
        </a:xfrm>
        <a:prstGeom prst="rect">
          <a:avLst/>
        </a:prstGeom>
        <a:solidFill>
          <a:schemeClr val="bg2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Retail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1</xdr:col>
      <xdr:colOff>905435</xdr:colOff>
      <xdr:row>29</xdr:row>
      <xdr:rowOff>101412</xdr:rowOff>
    </xdr:to>
    <xdr:sp macro="[0]!GOEM_Low_30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83559" y="5670176"/>
          <a:ext cx="905435" cy="740148"/>
        </a:xfrm>
        <a:prstGeom prst="rect">
          <a:avLst/>
        </a:prstGeom>
        <a:solidFill>
          <a:srgbClr val="92D050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GOEM</a:t>
          </a:r>
          <a:br>
            <a:rPr lang="en-US" altLang="ko-KR" sz="1200" b="1">
              <a:solidFill>
                <a:schemeClr val="tx1"/>
              </a:solidFill>
            </a:rPr>
          </a:br>
          <a:r>
            <a:rPr lang="en-US" altLang="ko-KR" sz="1200" b="1">
              <a:solidFill>
                <a:schemeClr val="tx1"/>
              </a:solidFill>
            </a:rPr>
            <a:t>RSA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1</xdr:col>
      <xdr:colOff>905435</xdr:colOff>
      <xdr:row>41</xdr:row>
      <xdr:rowOff>101412</xdr:rowOff>
    </xdr:to>
    <xdr:sp macro="[0]!Dell_High_42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683559" y="8247529"/>
          <a:ext cx="905435" cy="740148"/>
        </a:xfrm>
        <a:prstGeom prst="rect">
          <a:avLst/>
        </a:prstGeom>
        <a:solidFill>
          <a:schemeClr val="bg2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Dell</a:t>
          </a:r>
          <a:br>
            <a:rPr lang="en-US" altLang="ko-KR" sz="1200" b="1">
              <a:solidFill>
                <a:schemeClr val="tx1"/>
              </a:solidFill>
            </a:rPr>
          </a:br>
          <a:r>
            <a:rPr lang="en-US" altLang="ko-KR" sz="1200" b="1">
              <a:solidFill>
                <a:schemeClr val="tx1"/>
              </a:solidFill>
            </a:rPr>
            <a:t>HIGH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1</xdr:col>
      <xdr:colOff>905435</xdr:colOff>
      <xdr:row>53</xdr:row>
      <xdr:rowOff>101412</xdr:rowOff>
    </xdr:to>
    <xdr:sp macro="[0]!Dell_Low_54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683559" y="10824882"/>
          <a:ext cx="905435" cy="740148"/>
        </a:xfrm>
        <a:prstGeom prst="rect">
          <a:avLst/>
        </a:prstGeom>
        <a:solidFill>
          <a:schemeClr val="bg2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Dell</a:t>
          </a:r>
          <a:br>
            <a:rPr lang="en-US" altLang="ko-KR" sz="1200" b="1">
              <a:solidFill>
                <a:schemeClr val="tx1"/>
              </a:solidFill>
            </a:rPr>
          </a:br>
          <a:r>
            <a:rPr lang="en-US" altLang="ko-KR" sz="1200" b="1">
              <a:solidFill>
                <a:schemeClr val="tx1"/>
              </a:solidFill>
            </a:rPr>
            <a:t>Low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62</xdr:row>
      <xdr:rowOff>0</xdr:rowOff>
    </xdr:from>
    <xdr:to>
      <xdr:col>1</xdr:col>
      <xdr:colOff>905435</xdr:colOff>
      <xdr:row>65</xdr:row>
      <xdr:rowOff>101412</xdr:rowOff>
    </xdr:to>
    <xdr:sp macro="[0]!Lenovo_High_66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683559" y="13402235"/>
          <a:ext cx="905435" cy="740148"/>
        </a:xfrm>
        <a:prstGeom prst="rect">
          <a:avLst/>
        </a:prstGeom>
        <a:solidFill>
          <a:srgbClr val="92D050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HP NonSED</a:t>
          </a:r>
          <a:br>
            <a:rPr lang="en-US" altLang="ko-KR" sz="1200" b="1">
              <a:solidFill>
                <a:schemeClr val="tx1"/>
              </a:solidFill>
            </a:rPr>
          </a:br>
          <a:r>
            <a:rPr lang="en-US" altLang="ko-KR" sz="1200" b="1">
              <a:solidFill>
                <a:schemeClr val="tx1"/>
              </a:solidFill>
            </a:rPr>
            <a:t>128GB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74</xdr:row>
      <xdr:rowOff>0</xdr:rowOff>
    </xdr:from>
    <xdr:to>
      <xdr:col>1</xdr:col>
      <xdr:colOff>905435</xdr:colOff>
      <xdr:row>77</xdr:row>
      <xdr:rowOff>101412</xdr:rowOff>
    </xdr:to>
    <xdr:sp macro="[0]!Lenovo_Low_78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683559" y="15979588"/>
          <a:ext cx="905435" cy="740148"/>
        </a:xfrm>
        <a:prstGeom prst="rect">
          <a:avLst/>
        </a:prstGeom>
        <a:solidFill>
          <a:srgbClr val="92D050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HP SED</a:t>
          </a:r>
          <a:br>
            <a:rPr lang="en-US" altLang="ko-KR" sz="1200" b="1">
              <a:solidFill>
                <a:schemeClr val="tx1"/>
              </a:solidFill>
            </a:rPr>
          </a:br>
          <a:r>
            <a:rPr lang="en-US" altLang="ko-KR" sz="1200" b="1">
              <a:solidFill>
                <a:schemeClr val="tx1"/>
              </a:solidFill>
            </a:rPr>
            <a:t>128GB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86</xdr:row>
      <xdr:rowOff>0</xdr:rowOff>
    </xdr:from>
    <xdr:to>
      <xdr:col>1</xdr:col>
      <xdr:colOff>905435</xdr:colOff>
      <xdr:row>89</xdr:row>
      <xdr:rowOff>101412</xdr:rowOff>
    </xdr:to>
    <xdr:sp macro="[0]!HP_High_90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83559" y="8247529"/>
          <a:ext cx="905435" cy="740148"/>
        </a:xfrm>
        <a:prstGeom prst="rect">
          <a:avLst/>
        </a:prstGeom>
        <a:solidFill>
          <a:schemeClr val="bg2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HP NonSED</a:t>
          </a:r>
          <a:br>
            <a:rPr lang="en-US" altLang="ko-KR" sz="1200" b="1">
              <a:solidFill>
                <a:schemeClr val="tx1"/>
              </a:solidFill>
            </a:rPr>
          </a:br>
          <a:r>
            <a:rPr lang="en-US" altLang="ko-KR" sz="1200" b="1">
              <a:solidFill>
                <a:schemeClr val="tx1"/>
              </a:solidFill>
            </a:rPr>
            <a:t>512GB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98</xdr:row>
      <xdr:rowOff>0</xdr:rowOff>
    </xdr:from>
    <xdr:to>
      <xdr:col>1</xdr:col>
      <xdr:colOff>905435</xdr:colOff>
      <xdr:row>101</xdr:row>
      <xdr:rowOff>101412</xdr:rowOff>
    </xdr:to>
    <xdr:sp macro="[0]!HP_Low_102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83559" y="21134294"/>
          <a:ext cx="905435" cy="740147"/>
        </a:xfrm>
        <a:prstGeom prst="rect">
          <a:avLst/>
        </a:prstGeom>
        <a:solidFill>
          <a:schemeClr val="bg2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HP SED</a:t>
          </a:r>
          <a:br>
            <a:rPr lang="en-US" altLang="ko-KR" sz="1200" b="1">
              <a:solidFill>
                <a:schemeClr val="tx1"/>
              </a:solidFill>
            </a:rPr>
          </a:br>
          <a:r>
            <a:rPr lang="en-US" altLang="ko-KR" sz="1200" b="1">
              <a:solidFill>
                <a:schemeClr val="tx1"/>
              </a:solidFill>
            </a:rPr>
            <a:t>512GB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110</xdr:row>
      <xdr:rowOff>0</xdr:rowOff>
    </xdr:from>
    <xdr:to>
      <xdr:col>1</xdr:col>
      <xdr:colOff>905435</xdr:colOff>
      <xdr:row>110</xdr:row>
      <xdr:rowOff>0</xdr:rowOff>
    </xdr:to>
    <xdr:sp macro="[0]!HP_RSA_Security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687457" y="3213652"/>
          <a:ext cx="905435" cy="722608"/>
        </a:xfrm>
        <a:prstGeom prst="rect">
          <a:avLst/>
        </a:prstGeom>
        <a:solidFill>
          <a:schemeClr val="bg2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HP_RSA_</a:t>
          </a:r>
          <a:br>
            <a:rPr lang="en-US" altLang="ko-KR" sz="1200" b="1">
              <a:solidFill>
                <a:schemeClr val="tx1"/>
              </a:solidFill>
            </a:rPr>
          </a:br>
          <a:r>
            <a:rPr lang="en-US" altLang="ko-KR" sz="1200" b="1">
              <a:solidFill>
                <a:schemeClr val="tx1"/>
              </a:solidFill>
            </a:rPr>
            <a:t>SED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110</xdr:row>
      <xdr:rowOff>0</xdr:rowOff>
    </xdr:from>
    <xdr:to>
      <xdr:col>1</xdr:col>
      <xdr:colOff>905435</xdr:colOff>
      <xdr:row>113</xdr:row>
      <xdr:rowOff>101412</xdr:rowOff>
    </xdr:to>
    <xdr:sp macro="[0]!HP_Security_CDM5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83559" y="8662147"/>
          <a:ext cx="905435" cy="740147"/>
        </a:xfrm>
        <a:prstGeom prst="rect">
          <a:avLst/>
        </a:prstGeom>
        <a:solidFill>
          <a:schemeClr val="bg2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CDM5.1.0</a:t>
          </a:r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905435</xdr:colOff>
      <xdr:row>125</xdr:row>
      <xdr:rowOff>101412</xdr:rowOff>
    </xdr:to>
    <xdr:sp macro="[0]!HP_Security_CDM5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683559" y="3092824"/>
          <a:ext cx="905435" cy="740147"/>
        </a:xfrm>
        <a:prstGeom prst="rect">
          <a:avLst/>
        </a:prstGeom>
        <a:solidFill>
          <a:schemeClr val="bg2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CDM5.1.0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14</xdr:row>
      <xdr:rowOff>0</xdr:rowOff>
    </xdr:from>
    <xdr:to>
      <xdr:col>1</xdr:col>
      <xdr:colOff>1080001</xdr:colOff>
      <xdr:row>17</xdr:row>
      <xdr:rowOff>94072</xdr:rowOff>
    </xdr:to>
    <xdr:sp macro="[0]!dell_high_18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80358" y="830036"/>
          <a:ext cx="1080000" cy="720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chemeClr val="tx1"/>
              </a:solidFill>
            </a:rPr>
            <a:t>Dell High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905435</xdr:colOff>
      <xdr:row>5</xdr:row>
      <xdr:rowOff>101413</xdr:rowOff>
    </xdr:to>
    <xdr:sp macro="[0]!Milan_Raw_6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85800" y="504825"/>
          <a:ext cx="905435" cy="0"/>
        </a:xfrm>
        <a:prstGeom prst="rect">
          <a:avLst/>
        </a:prstGeom>
        <a:solidFill>
          <a:schemeClr val="bg2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Milan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1080001</xdr:colOff>
      <xdr:row>29</xdr:row>
      <xdr:rowOff>94072</xdr:rowOff>
    </xdr:to>
    <xdr:sp macro="[0]!Dell_Low_30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80358" y="3320143"/>
          <a:ext cx="1080000" cy="720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chemeClr val="tx1"/>
              </a:solidFill>
            </a:rPr>
            <a:t>Dell</a:t>
          </a:r>
        </a:p>
        <a:p>
          <a:pPr algn="ctr"/>
          <a:r>
            <a:rPr lang="en-US" altLang="ko-KR" sz="1800" b="1">
              <a:solidFill>
                <a:schemeClr val="tx1"/>
              </a:solidFill>
            </a:rPr>
            <a:t>Low</a:t>
          </a:r>
          <a:endParaRPr lang="ko-KR" altLang="en-US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1</xdr:col>
      <xdr:colOff>905435</xdr:colOff>
      <xdr:row>41</xdr:row>
      <xdr:rowOff>101412</xdr:rowOff>
    </xdr:to>
    <xdr:sp macro="[0]!Lenovo_high_4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85800" y="504825"/>
          <a:ext cx="905435" cy="0"/>
        </a:xfrm>
        <a:prstGeom prst="rect">
          <a:avLst/>
        </a:prstGeom>
        <a:solidFill>
          <a:schemeClr val="bg2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</a:rPr>
            <a:t>Lenovo</a:t>
          </a:r>
        </a:p>
        <a:p>
          <a:pPr algn="ctr"/>
          <a:r>
            <a:rPr lang="en-US" altLang="ko-KR" sz="1400" b="1">
              <a:solidFill>
                <a:schemeClr val="tx1"/>
              </a:solidFill>
            </a:rPr>
            <a:t>High</a:t>
          </a:r>
          <a:endParaRPr lang="ko-KR" alt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1</xdr:col>
      <xdr:colOff>905435</xdr:colOff>
      <xdr:row>53</xdr:row>
      <xdr:rowOff>101412</xdr:rowOff>
    </xdr:to>
    <xdr:sp macro="[0]!Lenovo_Low_5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85800" y="504825"/>
          <a:ext cx="905435" cy="0"/>
        </a:xfrm>
        <a:prstGeom prst="rect">
          <a:avLst/>
        </a:prstGeom>
        <a:solidFill>
          <a:schemeClr val="bg2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Lenovo</a:t>
          </a:r>
        </a:p>
        <a:p>
          <a:pPr algn="ctr"/>
          <a:r>
            <a:rPr lang="en-US" altLang="ko-KR" sz="1200" b="1">
              <a:solidFill>
                <a:schemeClr val="tx1"/>
              </a:solidFill>
            </a:rPr>
            <a:t>Low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62</xdr:row>
      <xdr:rowOff>0</xdr:rowOff>
    </xdr:from>
    <xdr:to>
      <xdr:col>1</xdr:col>
      <xdr:colOff>905435</xdr:colOff>
      <xdr:row>65</xdr:row>
      <xdr:rowOff>101412</xdr:rowOff>
    </xdr:to>
    <xdr:sp macro="[0]!WD_512GB_66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09600" y="12249150"/>
          <a:ext cx="905435" cy="691962"/>
        </a:xfrm>
        <a:prstGeom prst="rect">
          <a:avLst/>
        </a:prstGeom>
        <a:solidFill>
          <a:srgbClr val="92D050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ATLAS</a:t>
          </a:r>
        </a:p>
        <a:p>
          <a:pPr algn="ctr"/>
          <a:r>
            <a:rPr lang="en-US" altLang="ko-KR" sz="1200" b="1">
              <a:solidFill>
                <a:schemeClr val="tx1"/>
              </a:solidFill>
            </a:rPr>
            <a:t>256GB</a:t>
          </a:r>
        </a:p>
      </xdr:txBody>
    </xdr:sp>
    <xdr:clientData/>
  </xdr:twoCellAnchor>
  <xdr:twoCellAnchor>
    <xdr:from>
      <xdr:col>1</xdr:col>
      <xdr:colOff>1</xdr:colOff>
      <xdr:row>78</xdr:row>
      <xdr:rowOff>0</xdr:rowOff>
    </xdr:from>
    <xdr:to>
      <xdr:col>1</xdr:col>
      <xdr:colOff>1080001</xdr:colOff>
      <xdr:row>81</xdr:row>
      <xdr:rowOff>94071</xdr:rowOff>
    </xdr:to>
    <xdr:sp macro="[0]!WD_1TB_Raw_78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80358" y="5810250"/>
          <a:ext cx="1080000" cy="720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chemeClr val="tx1"/>
              </a:solidFill>
            </a:rPr>
            <a:t>ATLAS</a:t>
          </a:r>
        </a:p>
        <a:p>
          <a:pPr algn="ctr"/>
          <a:r>
            <a:rPr lang="en-US" altLang="ko-KR" sz="1800" b="1">
              <a:solidFill>
                <a:schemeClr val="tx1"/>
              </a:solidFill>
            </a:rPr>
            <a:t>512GB</a:t>
          </a:r>
          <a:endParaRPr lang="ko-KR" altLang="en-US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</xdr:colOff>
      <xdr:row>94</xdr:row>
      <xdr:rowOff>0</xdr:rowOff>
    </xdr:from>
    <xdr:to>
      <xdr:col>1</xdr:col>
      <xdr:colOff>1080001</xdr:colOff>
      <xdr:row>97</xdr:row>
      <xdr:rowOff>94071</xdr:rowOff>
    </xdr:to>
    <xdr:sp macro="[0]!WD_2TB_90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80358" y="8300357"/>
          <a:ext cx="1080000" cy="720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chemeClr val="tx1"/>
              </a:solidFill>
            </a:rPr>
            <a:t>ATLAS</a:t>
          </a:r>
        </a:p>
        <a:p>
          <a:pPr algn="ctr"/>
          <a:r>
            <a:rPr lang="en-US" altLang="ko-KR" sz="1800" b="1">
              <a:solidFill>
                <a:schemeClr val="tx1"/>
              </a:solidFill>
            </a:rPr>
            <a:t>1TB</a:t>
          </a:r>
          <a:endParaRPr lang="ko-KR" altLang="en-US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</xdr:colOff>
      <xdr:row>110</xdr:row>
      <xdr:rowOff>0</xdr:rowOff>
    </xdr:from>
    <xdr:to>
      <xdr:col>1</xdr:col>
      <xdr:colOff>1080001</xdr:colOff>
      <xdr:row>113</xdr:row>
      <xdr:rowOff>94071</xdr:rowOff>
    </xdr:to>
    <xdr:sp macro="[0]!WD_4TB_102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680358" y="10790464"/>
          <a:ext cx="1080000" cy="720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 baseline="0">
              <a:solidFill>
                <a:schemeClr val="tx1"/>
              </a:solidFill>
            </a:rPr>
            <a:t>ATLAS</a:t>
          </a:r>
        </a:p>
        <a:p>
          <a:pPr algn="ctr"/>
          <a:r>
            <a:rPr lang="en-US" altLang="ko-KR" sz="1800" b="1" baseline="0">
              <a:solidFill>
                <a:schemeClr val="tx1"/>
              </a:solidFill>
            </a:rPr>
            <a:t>2TB</a:t>
          </a:r>
          <a:endParaRPr lang="ko-KR" altLang="en-US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126</xdr:row>
      <xdr:rowOff>0</xdr:rowOff>
    </xdr:from>
    <xdr:to>
      <xdr:col>1</xdr:col>
      <xdr:colOff>905435</xdr:colOff>
      <xdr:row>126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685800" y="5895975"/>
          <a:ext cx="905435" cy="0"/>
        </a:xfrm>
        <a:prstGeom prst="rect">
          <a:avLst/>
        </a:prstGeom>
        <a:solidFill>
          <a:schemeClr val="bg2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HP_RSA_</a:t>
          </a:r>
          <a:br>
            <a:rPr lang="en-US" altLang="ko-KR" sz="1200" b="1">
              <a:solidFill>
                <a:schemeClr val="tx1"/>
              </a:solidFill>
            </a:rPr>
          </a:br>
          <a:r>
            <a:rPr lang="en-US" altLang="ko-KR" sz="1200" b="1">
              <a:solidFill>
                <a:schemeClr val="tx1"/>
              </a:solidFill>
            </a:rPr>
            <a:t>SED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126</xdr:row>
      <xdr:rowOff>0</xdr:rowOff>
    </xdr:from>
    <xdr:to>
      <xdr:col>1</xdr:col>
      <xdr:colOff>905435</xdr:colOff>
      <xdr:row>126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685800" y="5895975"/>
          <a:ext cx="905435" cy="0"/>
        </a:xfrm>
        <a:prstGeom prst="rect">
          <a:avLst/>
        </a:prstGeom>
        <a:solidFill>
          <a:schemeClr val="bg2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CDM5.1.0</a:t>
          </a:r>
        </a:p>
      </xdr:txBody>
    </xdr:sp>
    <xdr:clientData/>
  </xdr:twoCellAnchor>
  <xdr:twoCellAnchor>
    <xdr:from>
      <xdr:col>1</xdr:col>
      <xdr:colOff>0</xdr:colOff>
      <xdr:row>126</xdr:row>
      <xdr:rowOff>0</xdr:rowOff>
    </xdr:from>
    <xdr:to>
      <xdr:col>1</xdr:col>
      <xdr:colOff>905435</xdr:colOff>
      <xdr:row>126</xdr:row>
      <xdr:rowOff>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685800" y="5895975"/>
          <a:ext cx="905435" cy="0"/>
        </a:xfrm>
        <a:prstGeom prst="rect">
          <a:avLst/>
        </a:prstGeom>
        <a:solidFill>
          <a:schemeClr val="bg2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CDM5.1.0</a:t>
          </a:r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905435</xdr:colOff>
      <xdr:row>130</xdr:row>
      <xdr:rowOff>101413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670560" y="525780"/>
          <a:ext cx="905435" cy="79483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LENOVO</a:t>
          </a:r>
        </a:p>
      </xdr:txBody>
    </xdr:sp>
    <xdr:clientData/>
  </xdr:twoCellAnchor>
  <xdr:twoCellAnchor>
    <xdr:from>
      <xdr:col>1</xdr:col>
      <xdr:colOff>0</xdr:colOff>
      <xdr:row>139</xdr:row>
      <xdr:rowOff>0</xdr:rowOff>
    </xdr:from>
    <xdr:to>
      <xdr:col>1</xdr:col>
      <xdr:colOff>905435</xdr:colOff>
      <xdr:row>142</xdr:row>
      <xdr:rowOff>101412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670560" y="3497580"/>
          <a:ext cx="905435" cy="7643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LENOVO</a:t>
          </a:r>
          <a:r>
            <a:rPr lang="en-US" altLang="ko-KR" sz="1200" b="1" baseline="0">
              <a:solidFill>
                <a:schemeClr val="tx1"/>
              </a:solidFill>
            </a:rPr>
            <a:t> </a:t>
          </a:r>
          <a:r>
            <a:rPr lang="en-US" altLang="ko-KR" sz="1200" b="1">
              <a:solidFill>
                <a:schemeClr val="tx1"/>
              </a:solidFill>
            </a:rPr>
            <a:t>RSA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</xdr:colOff>
      <xdr:row>152</xdr:row>
      <xdr:rowOff>0</xdr:rowOff>
    </xdr:from>
    <xdr:to>
      <xdr:col>1</xdr:col>
      <xdr:colOff>1080001</xdr:colOff>
      <xdr:row>155</xdr:row>
      <xdr:rowOff>94072</xdr:rowOff>
    </xdr:to>
    <xdr:sp macro="[0]!Dell_SED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680358" y="15784286"/>
          <a:ext cx="1080000" cy="720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 baseline="0">
              <a:solidFill>
                <a:schemeClr val="tx1"/>
              </a:solidFill>
            </a:rPr>
            <a:t>DELL</a:t>
          </a:r>
        </a:p>
        <a:p>
          <a:pPr algn="ctr"/>
          <a:r>
            <a:rPr lang="en-US" altLang="ko-KR" sz="1800" b="1" baseline="0">
              <a:solidFill>
                <a:schemeClr val="tx1"/>
              </a:solidFill>
            </a:rPr>
            <a:t>RSA</a:t>
          </a:r>
          <a:endParaRPr lang="ko-KR" altLang="en-US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164</xdr:row>
      <xdr:rowOff>0</xdr:rowOff>
    </xdr:from>
    <xdr:to>
      <xdr:col>1</xdr:col>
      <xdr:colOff>905435</xdr:colOff>
      <xdr:row>164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670560" y="11498580"/>
          <a:ext cx="905435" cy="0"/>
        </a:xfrm>
        <a:prstGeom prst="rect">
          <a:avLst/>
        </a:prstGeom>
        <a:solidFill>
          <a:schemeClr val="bg2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HP_RSA_</a:t>
          </a:r>
          <a:br>
            <a:rPr lang="en-US" altLang="ko-KR" sz="1200" b="1">
              <a:solidFill>
                <a:schemeClr val="tx1"/>
              </a:solidFill>
            </a:rPr>
          </a:br>
          <a:r>
            <a:rPr lang="en-US" altLang="ko-KR" sz="1200" b="1">
              <a:solidFill>
                <a:schemeClr val="tx1"/>
              </a:solidFill>
            </a:rPr>
            <a:t>SED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</xdr:colOff>
      <xdr:row>164</xdr:row>
      <xdr:rowOff>0</xdr:rowOff>
    </xdr:from>
    <xdr:to>
      <xdr:col>1</xdr:col>
      <xdr:colOff>1080001</xdr:colOff>
      <xdr:row>167</xdr:row>
      <xdr:rowOff>94071</xdr:rowOff>
    </xdr:to>
    <xdr:sp macro="[0]!Lenovo_non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680358" y="18288000"/>
          <a:ext cx="1080000" cy="720000"/>
        </a:xfrm>
        <a:prstGeom prst="rect">
          <a:avLst/>
        </a:prstGeom>
        <a:solidFill>
          <a:schemeClr val="bg2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chemeClr val="tx1"/>
              </a:solidFill>
            </a:rPr>
            <a:t>Lenovo</a:t>
          </a:r>
          <a:br>
            <a:rPr lang="en-US" altLang="ko-KR" sz="1800" b="1">
              <a:solidFill>
                <a:schemeClr val="tx1"/>
              </a:solidFill>
            </a:rPr>
          </a:br>
          <a:r>
            <a:rPr lang="en-US" altLang="ko-KR" sz="1800" b="1">
              <a:solidFill>
                <a:schemeClr val="tx1"/>
              </a:solidFill>
            </a:rPr>
            <a:t>Non-SED</a:t>
          </a:r>
        </a:p>
      </xdr:txBody>
    </xdr:sp>
    <xdr:clientData/>
  </xdr:twoCellAnchor>
  <xdr:twoCellAnchor>
    <xdr:from>
      <xdr:col>1</xdr:col>
      <xdr:colOff>1</xdr:colOff>
      <xdr:row>176</xdr:row>
      <xdr:rowOff>27215</xdr:rowOff>
    </xdr:from>
    <xdr:to>
      <xdr:col>1</xdr:col>
      <xdr:colOff>1080001</xdr:colOff>
      <xdr:row>179</xdr:row>
      <xdr:rowOff>121286</xdr:rowOff>
    </xdr:to>
    <xdr:sp macro="[0]!Lenovo_SED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680358" y="20805322"/>
          <a:ext cx="1080000" cy="720000"/>
        </a:xfrm>
        <a:prstGeom prst="rect">
          <a:avLst/>
        </a:prstGeom>
        <a:solidFill>
          <a:schemeClr val="bg2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chemeClr val="tx1"/>
              </a:solidFill>
            </a:rPr>
            <a:t>Lenovo</a:t>
          </a:r>
          <a:br>
            <a:rPr lang="en-US" altLang="ko-KR" sz="1800" b="1">
              <a:solidFill>
                <a:schemeClr val="tx1"/>
              </a:solidFill>
            </a:rPr>
          </a:br>
          <a:r>
            <a:rPr lang="en-US" altLang="ko-KR" sz="1800" b="1">
              <a:solidFill>
                <a:schemeClr val="tx1"/>
              </a:solidFill>
            </a:rPr>
            <a:t>SED</a:t>
          </a:r>
        </a:p>
      </xdr:txBody>
    </xdr:sp>
    <xdr:clientData/>
  </xdr:twoCellAnchor>
  <xdr:twoCellAnchor>
    <xdr:from>
      <xdr:col>1</xdr:col>
      <xdr:colOff>1</xdr:colOff>
      <xdr:row>188</xdr:row>
      <xdr:rowOff>0</xdr:rowOff>
    </xdr:from>
    <xdr:to>
      <xdr:col>1</xdr:col>
      <xdr:colOff>1080001</xdr:colOff>
      <xdr:row>191</xdr:row>
      <xdr:rowOff>94071</xdr:rowOff>
    </xdr:to>
    <xdr:sp macro="[0]!Milan_SED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680358" y="23268214"/>
          <a:ext cx="1080000" cy="720000"/>
        </a:xfrm>
        <a:prstGeom prst="rect">
          <a:avLst/>
        </a:prstGeom>
        <a:solidFill>
          <a:srgbClr val="FDE7FE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chemeClr val="tx1"/>
              </a:solidFill>
            </a:rPr>
            <a:t>Milan</a:t>
          </a:r>
        </a:p>
      </xdr:txBody>
    </xdr:sp>
    <xdr:clientData/>
  </xdr:twoCellAnchor>
  <xdr:twoCellAnchor>
    <xdr:from>
      <xdr:col>12</xdr:col>
      <xdr:colOff>312961</xdr:colOff>
      <xdr:row>13</xdr:row>
      <xdr:rowOff>176893</xdr:rowOff>
    </xdr:from>
    <xdr:to>
      <xdr:col>13</xdr:col>
      <xdr:colOff>923925</xdr:colOff>
      <xdr:row>15</xdr:row>
      <xdr:rowOff>172607</xdr:rowOff>
    </xdr:to>
    <xdr:sp macro="[0]!Dell_High_CSV" textlink="">
      <xdr:nvSpPr>
        <xdr:cNvPr id="22" name="Right Arrow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10199911" y="2834368"/>
          <a:ext cx="1220564" cy="519589"/>
        </a:xfrm>
        <a:prstGeom prst="rightArrow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200" b="1">
              <a:solidFill>
                <a:schemeClr val="tx1"/>
              </a:solidFill>
            </a:rPr>
            <a:t>Dell High</a:t>
          </a:r>
        </a:p>
      </xdr:txBody>
    </xdr:sp>
    <xdr:clientData/>
  </xdr:twoCellAnchor>
  <xdr:twoCellAnchor>
    <xdr:from>
      <xdr:col>12</xdr:col>
      <xdr:colOff>312961</xdr:colOff>
      <xdr:row>25</xdr:row>
      <xdr:rowOff>70757</xdr:rowOff>
    </xdr:from>
    <xdr:to>
      <xdr:col>13</xdr:col>
      <xdr:colOff>971550</xdr:colOff>
      <xdr:row>27</xdr:row>
      <xdr:rowOff>175329</xdr:rowOff>
    </xdr:to>
    <xdr:sp macro="[0]!Dell_Low_CSV" textlink="">
      <xdr:nvSpPr>
        <xdr:cNvPr id="24" name="Right Arrow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0199911" y="5166632"/>
          <a:ext cx="1268189" cy="504622"/>
        </a:xfrm>
        <a:prstGeom prst="rightArrow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200" b="1">
              <a:solidFill>
                <a:schemeClr val="tx1"/>
              </a:solidFill>
            </a:rPr>
            <a:t>Dell Low</a:t>
          </a:r>
        </a:p>
        <a:p>
          <a:pPr algn="l"/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312961</xdr:colOff>
      <xdr:row>77</xdr:row>
      <xdr:rowOff>40821</xdr:rowOff>
    </xdr:from>
    <xdr:to>
      <xdr:col>13</xdr:col>
      <xdr:colOff>712604</xdr:colOff>
      <xdr:row>79</xdr:row>
      <xdr:rowOff>145392</xdr:rowOff>
    </xdr:to>
    <xdr:sp macro="[0]!WD_1TB_CSV" textlink="">
      <xdr:nvSpPr>
        <xdr:cNvPr id="23" name="Right Arrow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1606890" y="5633357"/>
          <a:ext cx="1080000" cy="539999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WD 1TB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312961</xdr:colOff>
      <xdr:row>93</xdr:row>
      <xdr:rowOff>54428</xdr:rowOff>
    </xdr:from>
    <xdr:to>
      <xdr:col>13</xdr:col>
      <xdr:colOff>712604</xdr:colOff>
      <xdr:row>95</xdr:row>
      <xdr:rowOff>159000</xdr:rowOff>
    </xdr:to>
    <xdr:sp macro="[0]!WD_2TB_CSV" textlink="">
      <xdr:nvSpPr>
        <xdr:cNvPr id="26" name="Right Arrow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11606890" y="8137071"/>
          <a:ext cx="1080000" cy="540000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WD 2TB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312961</xdr:colOff>
      <xdr:row>109</xdr:row>
      <xdr:rowOff>40821</xdr:rowOff>
    </xdr:from>
    <xdr:to>
      <xdr:col>13</xdr:col>
      <xdr:colOff>712604</xdr:colOff>
      <xdr:row>111</xdr:row>
      <xdr:rowOff>145392</xdr:rowOff>
    </xdr:to>
    <xdr:sp macro="[0]!WD_4TB_CSV" textlink="">
      <xdr:nvSpPr>
        <xdr:cNvPr id="27" name="Right Arrow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11606890" y="10613571"/>
          <a:ext cx="1080000" cy="540000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WD</a:t>
          </a:r>
          <a:r>
            <a:rPr lang="en-US" altLang="ko-KR" sz="1200" b="1" baseline="0">
              <a:solidFill>
                <a:schemeClr val="tx1"/>
              </a:solidFill>
            </a:rPr>
            <a:t> 4TB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312961</xdr:colOff>
      <xdr:row>151</xdr:row>
      <xdr:rowOff>68035</xdr:rowOff>
    </xdr:from>
    <xdr:to>
      <xdr:col>13</xdr:col>
      <xdr:colOff>712604</xdr:colOff>
      <xdr:row>153</xdr:row>
      <xdr:rowOff>172606</xdr:rowOff>
    </xdr:to>
    <xdr:sp macro="[0]!Dell_sed_CSV" textlink="">
      <xdr:nvSpPr>
        <xdr:cNvPr id="29" name="Right Arrow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1606890" y="15634606"/>
          <a:ext cx="1080000" cy="540000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Dell sed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312961</xdr:colOff>
      <xdr:row>163</xdr:row>
      <xdr:rowOff>68035</xdr:rowOff>
    </xdr:from>
    <xdr:to>
      <xdr:col>13</xdr:col>
      <xdr:colOff>712604</xdr:colOff>
      <xdr:row>165</xdr:row>
      <xdr:rowOff>159000</xdr:rowOff>
    </xdr:to>
    <xdr:sp macro="[0]!Lenovo_non_CSV" textlink="">
      <xdr:nvSpPr>
        <xdr:cNvPr id="30" name="Right Arrow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11606890" y="18124714"/>
          <a:ext cx="1080000" cy="540000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Lenovo non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312961</xdr:colOff>
      <xdr:row>175</xdr:row>
      <xdr:rowOff>68035</xdr:rowOff>
    </xdr:from>
    <xdr:to>
      <xdr:col>13</xdr:col>
      <xdr:colOff>712604</xdr:colOff>
      <xdr:row>177</xdr:row>
      <xdr:rowOff>172607</xdr:rowOff>
    </xdr:to>
    <xdr:sp macro="[0]!Lenovo_sed_CSV" textlink="">
      <xdr:nvSpPr>
        <xdr:cNvPr id="31" name="Right Arrow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11606890" y="18138321"/>
          <a:ext cx="1080000" cy="540000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Lenovo sed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340175</xdr:colOff>
      <xdr:row>187</xdr:row>
      <xdr:rowOff>27214</xdr:rowOff>
    </xdr:from>
    <xdr:to>
      <xdr:col>13</xdr:col>
      <xdr:colOff>739818</xdr:colOff>
      <xdr:row>189</xdr:row>
      <xdr:rowOff>131785</xdr:rowOff>
    </xdr:to>
    <xdr:sp macro="[0]!Milan_sed_CSV" textlink="">
      <xdr:nvSpPr>
        <xdr:cNvPr id="32" name="Right Arrow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11634104" y="23077714"/>
          <a:ext cx="1080000" cy="540000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Milan SED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0</xdr:row>
      <xdr:rowOff>13607</xdr:rowOff>
    </xdr:from>
    <xdr:to>
      <xdr:col>2</xdr:col>
      <xdr:colOff>27214</xdr:colOff>
      <xdr:row>1</xdr:row>
      <xdr:rowOff>13607</xdr:rowOff>
    </xdr:to>
    <xdr:sp macro="[0]!Reset_CDM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680357" y="13607"/>
          <a:ext cx="1143000" cy="299357"/>
        </a:xfrm>
        <a:prstGeom prst="rect">
          <a:avLst/>
        </a:prstGeom>
        <a:solidFill>
          <a:srgbClr val="FF0000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FFFF00"/>
              </a:solidFill>
            </a:rPr>
            <a:t>RESET</a:t>
          </a:r>
        </a:p>
      </xdr:txBody>
    </xdr:sp>
    <xdr:clientData/>
  </xdr:twoCellAnchor>
  <xdr:twoCellAnchor>
    <xdr:from>
      <xdr:col>12</xdr:col>
      <xdr:colOff>666750</xdr:colOff>
      <xdr:row>0</xdr:row>
      <xdr:rowOff>0</xdr:rowOff>
    </xdr:from>
    <xdr:to>
      <xdr:col>14</xdr:col>
      <xdr:colOff>0</xdr:colOff>
      <xdr:row>1</xdr:row>
      <xdr:rowOff>13607</xdr:rowOff>
    </xdr:to>
    <xdr:sp macro="[0]!Reset_SSW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11960679" y="0"/>
          <a:ext cx="693964" cy="312964"/>
        </a:xfrm>
        <a:prstGeom prst="rect">
          <a:avLst/>
        </a:prstGeom>
        <a:solidFill>
          <a:srgbClr val="FF0000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FFFF00"/>
              </a:solidFill>
            </a:rPr>
            <a:t>RESET</a:t>
          </a:r>
          <a:endParaRPr lang="en-US" altLang="ko-KR" sz="1200" b="1">
            <a:solidFill>
              <a:srgbClr val="FFFF00"/>
            </a:solidFill>
          </a:endParaRPr>
        </a:p>
      </xdr:txBody>
    </xdr:sp>
    <xdr:clientData/>
  </xdr:twoCellAnchor>
  <xdr:twoCellAnchor>
    <xdr:from>
      <xdr:col>12</xdr:col>
      <xdr:colOff>312961</xdr:colOff>
      <xdr:row>202</xdr:row>
      <xdr:rowOff>81643</xdr:rowOff>
    </xdr:from>
    <xdr:to>
      <xdr:col>13</xdr:col>
      <xdr:colOff>712604</xdr:colOff>
      <xdr:row>204</xdr:row>
      <xdr:rowOff>186215</xdr:rowOff>
    </xdr:to>
    <xdr:sp macro="[0]!WD_512GB_CSV" textlink="">
      <xdr:nvSpPr>
        <xdr:cNvPr id="35" name="Right Arrow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11606890" y="20642036"/>
          <a:ext cx="1080000" cy="540000"/>
        </a:xfrm>
        <a:prstGeom prst="rightArrow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WD 512GB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312961</xdr:colOff>
      <xdr:row>214</xdr:row>
      <xdr:rowOff>54427</xdr:rowOff>
    </xdr:from>
    <xdr:to>
      <xdr:col>13</xdr:col>
      <xdr:colOff>712604</xdr:colOff>
      <xdr:row>216</xdr:row>
      <xdr:rowOff>158998</xdr:rowOff>
    </xdr:to>
    <xdr:sp macro="[0]!WD_1TB_CSV" textlink="">
      <xdr:nvSpPr>
        <xdr:cNvPr id="36" name="Right Arrow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11606890" y="23104927"/>
          <a:ext cx="1080000" cy="540000"/>
        </a:xfrm>
        <a:prstGeom prst="rightArrow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WD</a:t>
          </a:r>
          <a:r>
            <a:rPr lang="en-US" altLang="ko-KR" sz="1200" b="1" baseline="0">
              <a:solidFill>
                <a:schemeClr val="tx1"/>
              </a:solidFill>
            </a:rPr>
            <a:t> 1TB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203</xdr:row>
      <xdr:rowOff>0</xdr:rowOff>
    </xdr:from>
    <xdr:to>
      <xdr:col>1</xdr:col>
      <xdr:colOff>1080000</xdr:colOff>
      <xdr:row>206</xdr:row>
      <xdr:rowOff>94071</xdr:rowOff>
    </xdr:to>
    <xdr:sp macro="[0]!WD_512GB_SEDyoyo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680357" y="20778107"/>
          <a:ext cx="1080000" cy="7200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chemeClr val="tx1"/>
              </a:solidFill>
            </a:rPr>
            <a:t>WD</a:t>
          </a:r>
        </a:p>
        <a:p>
          <a:pPr algn="ctr"/>
          <a:r>
            <a:rPr lang="en-US" altLang="ko-KR" sz="1800" b="1">
              <a:solidFill>
                <a:schemeClr val="tx1"/>
              </a:solidFill>
            </a:rPr>
            <a:t>512GB</a:t>
          </a:r>
        </a:p>
      </xdr:txBody>
    </xdr:sp>
    <xdr:clientData/>
  </xdr:twoCellAnchor>
  <xdr:twoCellAnchor>
    <xdr:from>
      <xdr:col>1</xdr:col>
      <xdr:colOff>0</xdr:colOff>
      <xdr:row>215</xdr:row>
      <xdr:rowOff>0</xdr:rowOff>
    </xdr:from>
    <xdr:to>
      <xdr:col>1</xdr:col>
      <xdr:colOff>1080000</xdr:colOff>
      <xdr:row>218</xdr:row>
      <xdr:rowOff>94071</xdr:rowOff>
    </xdr:to>
    <xdr:sp macro="[0]!WD_1TB_SED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680357" y="23268214"/>
          <a:ext cx="1080000" cy="7200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chemeClr val="tx1"/>
              </a:solidFill>
            </a:rPr>
            <a:t>WD</a:t>
          </a:r>
        </a:p>
        <a:p>
          <a:pPr algn="ctr"/>
          <a:r>
            <a:rPr lang="en-US" altLang="ko-KR" sz="1800" b="1">
              <a:solidFill>
                <a:schemeClr val="tx1"/>
              </a:solidFill>
            </a:rPr>
            <a:t>1TB</a:t>
          </a:r>
        </a:p>
      </xdr:txBody>
    </xdr:sp>
    <xdr:clientData/>
  </xdr:twoCellAnchor>
  <xdr:twoCellAnchor>
    <xdr:from>
      <xdr:col>12</xdr:col>
      <xdr:colOff>312961</xdr:colOff>
      <xdr:row>226</xdr:row>
      <xdr:rowOff>68037</xdr:rowOff>
    </xdr:from>
    <xdr:to>
      <xdr:col>13</xdr:col>
      <xdr:colOff>712604</xdr:colOff>
      <xdr:row>228</xdr:row>
      <xdr:rowOff>172608</xdr:rowOff>
    </xdr:to>
    <xdr:sp macro="[0]!GOEMH_NON_CSV" textlink="">
      <xdr:nvSpPr>
        <xdr:cNvPr id="38" name="Right Arrow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11606890" y="25608644"/>
          <a:ext cx="1080000" cy="540000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chemeClr val="tx1"/>
              </a:solidFill>
            </a:rPr>
            <a:t>GOEMH Non</a:t>
          </a:r>
        </a:p>
      </xdr:txBody>
    </xdr:sp>
    <xdr:clientData/>
  </xdr:twoCellAnchor>
  <xdr:twoCellAnchor>
    <xdr:from>
      <xdr:col>12</xdr:col>
      <xdr:colOff>312961</xdr:colOff>
      <xdr:row>238</xdr:row>
      <xdr:rowOff>40820</xdr:rowOff>
    </xdr:from>
    <xdr:to>
      <xdr:col>13</xdr:col>
      <xdr:colOff>712604</xdr:colOff>
      <xdr:row>240</xdr:row>
      <xdr:rowOff>145391</xdr:rowOff>
    </xdr:to>
    <xdr:sp macro="[0]!GOEMH_SED_CSV" textlink="">
      <xdr:nvSpPr>
        <xdr:cNvPr id="41" name="Right Arrow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11606890" y="28071534"/>
          <a:ext cx="1080000" cy="540000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chemeClr val="tx1"/>
              </a:solidFill>
            </a:rPr>
            <a:t>GOEM SED</a:t>
          </a:r>
          <a:endParaRPr lang="ko-KR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0</xdr:colOff>
      <xdr:row>227</xdr:row>
      <xdr:rowOff>0</xdr:rowOff>
    </xdr:from>
    <xdr:to>
      <xdr:col>1</xdr:col>
      <xdr:colOff>1080000</xdr:colOff>
      <xdr:row>230</xdr:row>
      <xdr:rowOff>94071</xdr:rowOff>
    </xdr:to>
    <xdr:sp macro="[0]!GOEMH_NON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680357" y="20778107"/>
          <a:ext cx="1080000" cy="72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chemeClr val="tx1"/>
              </a:solidFill>
            </a:rPr>
            <a:t>GOEMH</a:t>
          </a:r>
        </a:p>
        <a:p>
          <a:pPr algn="ctr"/>
          <a:r>
            <a:rPr lang="en-US" altLang="ko-KR" sz="1800" b="1">
              <a:solidFill>
                <a:schemeClr val="tx1"/>
              </a:solidFill>
            </a:rPr>
            <a:t>NonSED</a:t>
          </a:r>
        </a:p>
      </xdr:txBody>
    </xdr:sp>
    <xdr:clientData/>
  </xdr:twoCellAnchor>
  <xdr:twoCellAnchor>
    <xdr:from>
      <xdr:col>1</xdr:col>
      <xdr:colOff>0</xdr:colOff>
      <xdr:row>239</xdr:row>
      <xdr:rowOff>0</xdr:rowOff>
    </xdr:from>
    <xdr:to>
      <xdr:col>1</xdr:col>
      <xdr:colOff>1080000</xdr:colOff>
      <xdr:row>242</xdr:row>
      <xdr:rowOff>94071</xdr:rowOff>
    </xdr:to>
    <xdr:sp macro="[0]!GOEMH_SED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680357" y="23268214"/>
          <a:ext cx="1080000" cy="72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chemeClr val="tx1"/>
              </a:solidFill>
            </a:rPr>
            <a:t>GOEMH</a:t>
          </a:r>
        </a:p>
        <a:p>
          <a:pPr algn="ctr"/>
          <a:r>
            <a:rPr lang="en-US" altLang="ko-KR" sz="1800" b="1">
              <a:solidFill>
                <a:schemeClr val="tx1"/>
              </a:solidFill>
            </a:rPr>
            <a:t>SED</a:t>
          </a:r>
        </a:p>
      </xdr:txBody>
    </xdr:sp>
    <xdr:clientData/>
  </xdr:twoCellAnchor>
  <xdr:twoCellAnchor>
    <xdr:from>
      <xdr:col>12</xdr:col>
      <xdr:colOff>303436</xdr:colOff>
      <xdr:row>1</xdr:row>
      <xdr:rowOff>91168</xdr:rowOff>
    </xdr:from>
    <xdr:to>
      <xdr:col>13</xdr:col>
      <xdr:colOff>933450</xdr:colOff>
      <xdr:row>3</xdr:row>
      <xdr:rowOff>201182</xdr:rowOff>
    </xdr:to>
    <xdr:sp macro="[0]!Milan_CSV" textlink="">
      <xdr:nvSpPr>
        <xdr:cNvPr id="44" name="Right Arrow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10190386" y="386443"/>
          <a:ext cx="1239614" cy="519589"/>
        </a:xfrm>
        <a:prstGeom prst="rightArrow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200" b="1">
              <a:solidFill>
                <a:schemeClr val="tx1"/>
              </a:solidFill>
            </a:rPr>
            <a:t>Milan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522511</xdr:colOff>
      <xdr:row>37</xdr:row>
      <xdr:rowOff>129268</xdr:rowOff>
    </xdr:from>
    <xdr:to>
      <xdr:col>13</xdr:col>
      <xdr:colOff>1162050</xdr:colOff>
      <xdr:row>40</xdr:row>
      <xdr:rowOff>67832</xdr:rowOff>
    </xdr:to>
    <xdr:sp macro="[0]!Lenovo_High_CSV" textlink="">
      <xdr:nvSpPr>
        <xdr:cNvPr id="45" name="Right Arrow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10409461" y="7539718"/>
          <a:ext cx="1249139" cy="519589"/>
        </a:xfrm>
        <a:prstGeom prst="rightArrow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200" b="1">
              <a:solidFill>
                <a:schemeClr val="tx1"/>
              </a:solidFill>
            </a:rPr>
            <a:t>Lenovo</a:t>
          </a:r>
          <a:r>
            <a:rPr lang="en-US" altLang="ko-KR" sz="1200" b="1" baseline="0">
              <a:solidFill>
                <a:schemeClr val="tx1"/>
              </a:solidFill>
            </a:rPr>
            <a:t> High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561975</xdr:colOff>
      <xdr:row>49</xdr:row>
      <xdr:rowOff>190500</xdr:rowOff>
    </xdr:from>
    <xdr:to>
      <xdr:col>13</xdr:col>
      <xdr:colOff>1104900</xdr:colOff>
      <xdr:row>52</xdr:row>
      <xdr:rowOff>129064</xdr:rowOff>
    </xdr:to>
    <xdr:sp macro="[0]!Lenovo_Low_CSV" textlink="">
      <xdr:nvSpPr>
        <xdr:cNvPr id="46" name="Right Arrow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>
        <a:xfrm>
          <a:off x="10448925" y="9915525"/>
          <a:ext cx="1152525" cy="538639"/>
        </a:xfrm>
        <a:prstGeom prst="rightArrow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200" b="1">
              <a:solidFill>
                <a:schemeClr val="tx1"/>
              </a:solidFill>
            </a:rPr>
            <a:t>Lenovo Low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600074</xdr:colOff>
      <xdr:row>62</xdr:row>
      <xdr:rowOff>0</xdr:rowOff>
    </xdr:from>
    <xdr:to>
      <xdr:col>13</xdr:col>
      <xdr:colOff>1209675</xdr:colOff>
      <xdr:row>64</xdr:row>
      <xdr:rowOff>138589</xdr:rowOff>
    </xdr:to>
    <xdr:sp macro="[0]!WD_512GB_CSV" textlink="">
      <xdr:nvSpPr>
        <xdr:cNvPr id="48" name="Right Arrow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>
          <a:off x="10487024" y="12220575"/>
          <a:ext cx="1219201" cy="519589"/>
        </a:xfrm>
        <a:prstGeom prst="rightArrow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200" b="1">
              <a:solidFill>
                <a:schemeClr val="tx1"/>
              </a:solidFill>
            </a:rPr>
            <a:t>WD</a:t>
          </a:r>
          <a:r>
            <a:rPr lang="en-US" altLang="ko-KR" sz="1200" b="1" baseline="0">
              <a:solidFill>
                <a:schemeClr val="tx1"/>
              </a:solidFill>
            </a:rPr>
            <a:t> 512GB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326572</xdr:colOff>
      <xdr:row>77</xdr:row>
      <xdr:rowOff>190500</xdr:rowOff>
    </xdr:from>
    <xdr:to>
      <xdr:col>1</xdr:col>
      <xdr:colOff>551650</xdr:colOff>
      <xdr:row>81</xdr:row>
      <xdr:rowOff>74197</xdr:rowOff>
    </xdr:to>
    <xdr:sp macro="[0]!WD_1TB_Re_78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26572" y="489857"/>
          <a:ext cx="905435" cy="713733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ATLAS</a:t>
          </a:r>
        </a:p>
        <a:p>
          <a:pPr algn="ctr"/>
          <a:r>
            <a:rPr lang="en-US" altLang="ko-KR" sz="1200" b="1">
              <a:solidFill>
                <a:schemeClr val="tx1"/>
              </a:solidFill>
            </a:rPr>
            <a:t>512GB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312964</xdr:colOff>
      <xdr:row>93</xdr:row>
      <xdr:rowOff>190501</xdr:rowOff>
    </xdr:from>
    <xdr:to>
      <xdr:col>1</xdr:col>
      <xdr:colOff>538042</xdr:colOff>
      <xdr:row>97</xdr:row>
      <xdr:rowOff>74198</xdr:rowOff>
    </xdr:to>
    <xdr:sp macro="[0]!WD_2TB_Re_90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12964" y="2966358"/>
          <a:ext cx="905435" cy="713733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ATLAS</a:t>
          </a:r>
        </a:p>
        <a:p>
          <a:pPr algn="ctr"/>
          <a:r>
            <a:rPr lang="en-US" altLang="ko-KR" sz="1200" b="1">
              <a:solidFill>
                <a:schemeClr val="tx1"/>
              </a:solidFill>
            </a:rPr>
            <a:t>1TB</a:t>
          </a:r>
        </a:p>
      </xdr:txBody>
    </xdr:sp>
    <xdr:clientData/>
  </xdr:twoCellAnchor>
  <xdr:twoCellAnchor>
    <xdr:from>
      <xdr:col>0</xdr:col>
      <xdr:colOff>312964</xdr:colOff>
      <xdr:row>110</xdr:row>
      <xdr:rowOff>4082</xdr:rowOff>
    </xdr:from>
    <xdr:to>
      <xdr:col>2</xdr:col>
      <xdr:colOff>4642</xdr:colOff>
      <xdr:row>113</xdr:row>
      <xdr:rowOff>87804</xdr:rowOff>
    </xdr:to>
    <xdr:sp macro="[0]!WD_4TB_Re_102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12964" y="20530457"/>
          <a:ext cx="815628" cy="66474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 baseline="0">
              <a:solidFill>
                <a:schemeClr val="tx1"/>
              </a:solidFill>
            </a:rPr>
            <a:t>ATLAS</a:t>
          </a:r>
        </a:p>
        <a:p>
          <a:pPr algn="ctr"/>
          <a:r>
            <a:rPr lang="en-US" altLang="ko-KR" sz="1200" b="1" baseline="0">
              <a:solidFill>
                <a:schemeClr val="tx1"/>
              </a:solidFill>
            </a:rPr>
            <a:t>2TB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312964</xdr:colOff>
      <xdr:row>125</xdr:row>
      <xdr:rowOff>204108</xdr:rowOff>
    </xdr:from>
    <xdr:to>
      <xdr:col>1</xdr:col>
      <xdr:colOff>538042</xdr:colOff>
      <xdr:row>129</xdr:row>
      <xdr:rowOff>87807</xdr:rowOff>
    </xdr:to>
    <xdr:sp macro="[0]!GOEM_AD_NON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12964" y="7932965"/>
          <a:ext cx="905435" cy="71373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GOEM</a:t>
          </a:r>
        </a:p>
      </xdr:txBody>
    </xdr:sp>
    <xdr:clientData/>
  </xdr:twoCellAnchor>
  <xdr:twoCellAnchor>
    <xdr:from>
      <xdr:col>0</xdr:col>
      <xdr:colOff>326571</xdr:colOff>
      <xdr:row>139</xdr:row>
      <xdr:rowOff>1</xdr:rowOff>
    </xdr:from>
    <xdr:to>
      <xdr:col>1</xdr:col>
      <xdr:colOff>551649</xdr:colOff>
      <xdr:row>142</xdr:row>
      <xdr:rowOff>101414</xdr:rowOff>
    </xdr:to>
    <xdr:sp macro="[0]!GOEM_AD_SED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326571" y="10627180"/>
          <a:ext cx="905435" cy="71373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GOEM</a:t>
          </a:r>
          <a:br>
            <a:rPr lang="en-US" altLang="ko-KR" sz="1200" b="1">
              <a:solidFill>
                <a:schemeClr val="tx1"/>
              </a:solidFill>
            </a:rPr>
          </a:br>
          <a:r>
            <a:rPr lang="en-US" altLang="ko-KR" sz="1200" b="1">
              <a:solidFill>
                <a:schemeClr val="tx1"/>
              </a:solidFill>
            </a:rPr>
            <a:t>RSA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326572</xdr:colOff>
      <xdr:row>151</xdr:row>
      <xdr:rowOff>-1</xdr:rowOff>
    </xdr:from>
    <xdr:to>
      <xdr:col>1</xdr:col>
      <xdr:colOff>551650</xdr:colOff>
      <xdr:row>154</xdr:row>
      <xdr:rowOff>101411</xdr:rowOff>
    </xdr:to>
    <xdr:sp macro="[0]!LENOVO_AD_NO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26572" y="13103678"/>
          <a:ext cx="905435" cy="713733"/>
        </a:xfrm>
        <a:prstGeom prst="rect">
          <a:avLst/>
        </a:prstGeom>
        <a:solidFill>
          <a:schemeClr val="bg2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Lenovo</a:t>
          </a:r>
          <a:br>
            <a:rPr lang="en-US" altLang="ko-KR" sz="1200" b="1">
              <a:solidFill>
                <a:schemeClr val="tx1"/>
              </a:solidFill>
            </a:rPr>
          </a:br>
          <a:r>
            <a:rPr lang="en-US" altLang="ko-KR" sz="1200" b="1">
              <a:solidFill>
                <a:schemeClr val="tx1"/>
              </a:solidFill>
            </a:rPr>
            <a:t>non-sed</a:t>
          </a:r>
        </a:p>
      </xdr:txBody>
    </xdr:sp>
    <xdr:clientData/>
  </xdr:twoCellAnchor>
  <xdr:twoCellAnchor>
    <xdr:from>
      <xdr:col>0</xdr:col>
      <xdr:colOff>312964</xdr:colOff>
      <xdr:row>163</xdr:row>
      <xdr:rowOff>-1</xdr:rowOff>
    </xdr:from>
    <xdr:to>
      <xdr:col>1</xdr:col>
      <xdr:colOff>538042</xdr:colOff>
      <xdr:row>166</xdr:row>
      <xdr:rowOff>101411</xdr:rowOff>
    </xdr:to>
    <xdr:sp macro="[0]!LENOVO_AD_SED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312964" y="15580178"/>
          <a:ext cx="905435" cy="713733"/>
        </a:xfrm>
        <a:prstGeom prst="rect">
          <a:avLst/>
        </a:prstGeom>
        <a:solidFill>
          <a:schemeClr val="bg2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Lenovo</a:t>
          </a:r>
          <a:br>
            <a:rPr lang="en-US" altLang="ko-KR" sz="1200" b="1">
              <a:solidFill>
                <a:schemeClr val="tx1"/>
              </a:solidFill>
            </a:rPr>
          </a:br>
          <a:r>
            <a:rPr lang="en-US" altLang="ko-KR" sz="1200" b="1">
              <a:solidFill>
                <a:schemeClr val="tx1"/>
              </a:solidFill>
            </a:rPr>
            <a:t>sed</a:t>
          </a:r>
        </a:p>
      </xdr:txBody>
    </xdr:sp>
    <xdr:clientData/>
  </xdr:twoCellAnchor>
  <xdr:twoCellAnchor>
    <xdr:from>
      <xdr:col>0</xdr:col>
      <xdr:colOff>312964</xdr:colOff>
      <xdr:row>174</xdr:row>
      <xdr:rowOff>204107</xdr:rowOff>
    </xdr:from>
    <xdr:to>
      <xdr:col>1</xdr:col>
      <xdr:colOff>538042</xdr:colOff>
      <xdr:row>178</xdr:row>
      <xdr:rowOff>87804</xdr:rowOff>
    </xdr:to>
    <xdr:sp macro="[0]!DELL_AD_NO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312964" y="18043071"/>
          <a:ext cx="905435" cy="713733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DELL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326571</xdr:colOff>
      <xdr:row>187</xdr:row>
      <xdr:rowOff>176893</xdr:rowOff>
    </xdr:from>
    <xdr:to>
      <xdr:col>1</xdr:col>
      <xdr:colOff>551649</xdr:colOff>
      <xdr:row>191</xdr:row>
      <xdr:rowOff>60590</xdr:rowOff>
    </xdr:to>
    <xdr:sp macro="[0]!DELL_AD_SED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326571" y="20696464"/>
          <a:ext cx="905435" cy="713733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 baseline="0">
              <a:solidFill>
                <a:schemeClr val="tx1"/>
              </a:solidFill>
            </a:rPr>
            <a:t>DELL</a:t>
          </a:r>
        </a:p>
        <a:p>
          <a:pPr algn="ctr"/>
          <a:r>
            <a:rPr lang="en-US" altLang="ko-KR" sz="1200" b="1" baseline="0">
              <a:solidFill>
                <a:schemeClr val="tx1"/>
              </a:solidFill>
            </a:rPr>
            <a:t>SED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244928</xdr:colOff>
      <xdr:row>200</xdr:row>
      <xdr:rowOff>0</xdr:rowOff>
    </xdr:from>
    <xdr:to>
      <xdr:col>1</xdr:col>
      <xdr:colOff>470006</xdr:colOff>
      <xdr:row>200</xdr:row>
      <xdr:rowOff>0</xdr:rowOff>
    </xdr:to>
    <xdr:sp macro="[0]!DELL_AD_SED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44928" y="23213786"/>
          <a:ext cx="905435" cy="713733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 baseline="0">
              <a:solidFill>
                <a:schemeClr val="tx1"/>
              </a:solidFill>
            </a:rPr>
            <a:t>DELL</a:t>
          </a:r>
        </a:p>
        <a:p>
          <a:pPr algn="ctr"/>
          <a:r>
            <a:rPr lang="en-US" altLang="ko-KR" sz="1200" b="1" baseline="0">
              <a:solidFill>
                <a:schemeClr val="tx1"/>
              </a:solidFill>
            </a:rPr>
            <a:t>SED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204105</xdr:colOff>
      <xdr:row>200</xdr:row>
      <xdr:rowOff>204109</xdr:rowOff>
    </xdr:from>
    <xdr:to>
      <xdr:col>1</xdr:col>
      <xdr:colOff>429183</xdr:colOff>
      <xdr:row>204</xdr:row>
      <xdr:rowOff>87806</xdr:rowOff>
    </xdr:to>
    <xdr:sp macro="[0]!Milan_AD_SED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204105" y="25676680"/>
          <a:ext cx="905435" cy="713733"/>
        </a:xfrm>
        <a:prstGeom prst="rect">
          <a:avLst/>
        </a:prstGeom>
        <a:solidFill>
          <a:srgbClr val="FCD2EA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 baseline="0">
              <a:solidFill>
                <a:schemeClr val="tx1"/>
              </a:solidFill>
            </a:rPr>
            <a:t>Milan</a:t>
          </a:r>
          <a:br>
            <a:rPr lang="en-US" altLang="ko-KR" sz="1200" b="1" baseline="0">
              <a:solidFill>
                <a:schemeClr val="tx1"/>
              </a:solidFill>
            </a:rPr>
          </a:br>
          <a:r>
            <a:rPr lang="en-US" altLang="ko-KR" sz="1200" b="1" baseline="0">
              <a:solidFill>
                <a:schemeClr val="tx1"/>
              </a:solidFill>
            </a:rPr>
            <a:t>SED</a:t>
          </a:r>
        </a:p>
      </xdr:txBody>
    </xdr:sp>
    <xdr:clientData/>
  </xdr:twoCellAnchor>
  <xdr:twoCellAnchor>
    <xdr:from>
      <xdr:col>12</xdr:col>
      <xdr:colOff>40821</xdr:colOff>
      <xdr:row>93</xdr:row>
      <xdr:rowOff>0</xdr:rowOff>
    </xdr:from>
    <xdr:to>
      <xdr:col>13</xdr:col>
      <xdr:colOff>585107</xdr:colOff>
      <xdr:row>96</xdr:row>
      <xdr:rowOff>68036</xdr:rowOff>
    </xdr:to>
    <xdr:sp macro="[0]!WD_2TB_Ref_CSV" textlink="">
      <xdr:nvSpPr>
        <xdr:cNvPr id="14" name="Right Arrow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0804071" y="2775857"/>
          <a:ext cx="1224643" cy="707572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WD</a:t>
          </a:r>
          <a:r>
            <a:rPr lang="en-US" altLang="ko-KR" sz="1200" b="1" baseline="0">
              <a:solidFill>
                <a:schemeClr val="tx1"/>
              </a:solidFill>
            </a:rPr>
            <a:t> 2TB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653143</xdr:colOff>
      <xdr:row>104</xdr:row>
      <xdr:rowOff>176893</xdr:rowOff>
    </xdr:from>
    <xdr:to>
      <xdr:col>13</xdr:col>
      <xdr:colOff>517072</xdr:colOff>
      <xdr:row>112</xdr:row>
      <xdr:rowOff>27215</xdr:rowOff>
    </xdr:to>
    <xdr:sp macro="[0]!WD_4TB_Ref_CSV" textlink="">
      <xdr:nvSpPr>
        <xdr:cNvPr id="15" name="Right Arrow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0736036" y="5225143"/>
          <a:ext cx="1224643" cy="707572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WD 4TB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137</xdr:row>
      <xdr:rowOff>0</xdr:rowOff>
    </xdr:from>
    <xdr:to>
      <xdr:col>13</xdr:col>
      <xdr:colOff>544286</xdr:colOff>
      <xdr:row>141</xdr:row>
      <xdr:rowOff>68037</xdr:rowOff>
    </xdr:to>
    <xdr:sp macro="[0]!Sheet9.GOEM_Ref_sed_CSV" textlink="">
      <xdr:nvSpPr>
        <xdr:cNvPr id="17" name="Right Arrow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10763250" y="10246179"/>
          <a:ext cx="1224643" cy="707572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GOEM sed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27214</xdr:colOff>
      <xdr:row>149</xdr:row>
      <xdr:rowOff>204107</xdr:rowOff>
    </xdr:from>
    <xdr:to>
      <xdr:col>13</xdr:col>
      <xdr:colOff>571500</xdr:colOff>
      <xdr:row>153</xdr:row>
      <xdr:rowOff>54429</xdr:rowOff>
    </xdr:to>
    <xdr:sp macro="[0]!Sheet9.Lenovo_Ref_non_CSV" textlink="">
      <xdr:nvSpPr>
        <xdr:cNvPr id="18" name="Right Arrow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10790464" y="12722678"/>
          <a:ext cx="1224643" cy="707572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Lenovo non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40821</xdr:colOff>
      <xdr:row>161</xdr:row>
      <xdr:rowOff>176892</xdr:rowOff>
    </xdr:from>
    <xdr:to>
      <xdr:col>13</xdr:col>
      <xdr:colOff>585107</xdr:colOff>
      <xdr:row>165</xdr:row>
      <xdr:rowOff>27214</xdr:rowOff>
    </xdr:to>
    <xdr:sp macro="[0]!Sheet9.Lenovo_Ref_sed_CSV" textlink="">
      <xdr:nvSpPr>
        <xdr:cNvPr id="19" name="Right Arrow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0804071" y="15185571"/>
          <a:ext cx="1224643" cy="707572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Lenovo</a:t>
          </a:r>
          <a:r>
            <a:rPr lang="en-US" altLang="ko-KR" sz="1200" b="1" baseline="0">
              <a:solidFill>
                <a:schemeClr val="tx1"/>
              </a:solidFill>
            </a:rPr>
            <a:t> sed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666750</xdr:colOff>
      <xdr:row>173</xdr:row>
      <xdr:rowOff>204107</xdr:rowOff>
    </xdr:from>
    <xdr:to>
      <xdr:col>13</xdr:col>
      <xdr:colOff>530679</xdr:colOff>
      <xdr:row>177</xdr:row>
      <xdr:rowOff>54429</xdr:rowOff>
    </xdr:to>
    <xdr:sp macro="[0]!Sheet9.Dell_Ref_non_CSV" textlink="">
      <xdr:nvSpPr>
        <xdr:cNvPr id="20" name="Right Arrow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0749643" y="17702893"/>
          <a:ext cx="1224643" cy="707572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Dell</a:t>
          </a:r>
          <a:r>
            <a:rPr lang="en-US" altLang="ko-KR" sz="1200" b="1" baseline="0">
              <a:solidFill>
                <a:schemeClr val="tx1"/>
              </a:solidFill>
            </a:rPr>
            <a:t> non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187</xdr:row>
      <xdr:rowOff>13607</xdr:rowOff>
    </xdr:from>
    <xdr:to>
      <xdr:col>13</xdr:col>
      <xdr:colOff>544286</xdr:colOff>
      <xdr:row>190</xdr:row>
      <xdr:rowOff>81643</xdr:rowOff>
    </xdr:to>
    <xdr:sp macro="[0]!Sheet9.Dell_Ref_sed_CSV" textlink="">
      <xdr:nvSpPr>
        <xdr:cNvPr id="21" name="Right Arrow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10763250" y="20220214"/>
          <a:ext cx="1224643" cy="707572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Dell sed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199</xdr:row>
      <xdr:rowOff>0</xdr:rowOff>
    </xdr:from>
    <xdr:to>
      <xdr:col>13</xdr:col>
      <xdr:colOff>544286</xdr:colOff>
      <xdr:row>203</xdr:row>
      <xdr:rowOff>68036</xdr:rowOff>
    </xdr:to>
    <xdr:sp macro="[0]!Sheet9.Milan_Ref_sed_CSV" textlink="">
      <xdr:nvSpPr>
        <xdr:cNvPr id="22" name="Right Arrow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10763250" y="22696714"/>
          <a:ext cx="1224643" cy="707572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Milan sed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1836964</xdr:colOff>
      <xdr:row>0</xdr:row>
      <xdr:rowOff>0</xdr:rowOff>
    </xdr:from>
    <xdr:to>
      <xdr:col>3</xdr:col>
      <xdr:colOff>557892</xdr:colOff>
      <xdr:row>1</xdr:row>
      <xdr:rowOff>0</xdr:rowOff>
    </xdr:to>
    <xdr:sp macro="[0]!Reset_Reference_CDM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3102428" y="0"/>
          <a:ext cx="1143000" cy="299357"/>
        </a:xfrm>
        <a:prstGeom prst="rect">
          <a:avLst/>
        </a:prstGeom>
        <a:solidFill>
          <a:srgbClr val="FF0000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FFFF00"/>
              </a:solidFill>
            </a:rPr>
            <a:t>RESET</a:t>
          </a:r>
        </a:p>
      </xdr:txBody>
    </xdr:sp>
    <xdr:clientData/>
  </xdr:twoCellAnchor>
  <xdr:twoCellAnchor>
    <xdr:from>
      <xdr:col>12</xdr:col>
      <xdr:colOff>68036</xdr:colOff>
      <xdr:row>212</xdr:row>
      <xdr:rowOff>13607</xdr:rowOff>
    </xdr:from>
    <xdr:to>
      <xdr:col>13</xdr:col>
      <xdr:colOff>612322</xdr:colOff>
      <xdr:row>215</xdr:row>
      <xdr:rowOff>81643</xdr:rowOff>
    </xdr:to>
    <xdr:sp macro="[0]!Sheet9.WD_512GB_Ref_sed_CSV" textlink="">
      <xdr:nvSpPr>
        <xdr:cNvPr id="25" name="Right Arrow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10831286" y="20220214"/>
          <a:ext cx="1224643" cy="707572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WD 512GB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68036</xdr:colOff>
      <xdr:row>223</xdr:row>
      <xdr:rowOff>176893</xdr:rowOff>
    </xdr:from>
    <xdr:to>
      <xdr:col>13</xdr:col>
      <xdr:colOff>612322</xdr:colOff>
      <xdr:row>227</xdr:row>
      <xdr:rowOff>27215</xdr:rowOff>
    </xdr:to>
    <xdr:sp macro="[0]!Sheet9.WD_1TB_Ref_sed_CSV" textlink="">
      <xdr:nvSpPr>
        <xdr:cNvPr id="26" name="Right Arrow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10831286" y="22655893"/>
          <a:ext cx="1224643" cy="707572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WD 1TB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244928</xdr:colOff>
      <xdr:row>212</xdr:row>
      <xdr:rowOff>163286</xdr:rowOff>
    </xdr:from>
    <xdr:to>
      <xdr:col>1</xdr:col>
      <xdr:colOff>470006</xdr:colOff>
      <xdr:row>216</xdr:row>
      <xdr:rowOff>46983</xdr:rowOff>
    </xdr:to>
    <xdr:sp macro="[0]!WD_512GB_AD_SED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244928" y="20369893"/>
          <a:ext cx="905435" cy="72734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WD</a:t>
          </a:r>
        </a:p>
        <a:p>
          <a:pPr algn="ctr"/>
          <a:r>
            <a:rPr lang="en-US" altLang="ko-KR" sz="1200" b="1">
              <a:solidFill>
                <a:schemeClr val="tx1"/>
              </a:solidFill>
            </a:rPr>
            <a:t>512GB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231322</xdr:colOff>
      <xdr:row>225</xdr:row>
      <xdr:rowOff>-1</xdr:rowOff>
    </xdr:from>
    <xdr:to>
      <xdr:col>1</xdr:col>
      <xdr:colOff>456400</xdr:colOff>
      <xdr:row>228</xdr:row>
      <xdr:rowOff>101411</xdr:rowOff>
    </xdr:to>
    <xdr:sp macro="[0]!WD_1TB_AD_SED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231322" y="22914428"/>
          <a:ext cx="905435" cy="72734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WD</a:t>
          </a:r>
        </a:p>
        <a:p>
          <a:pPr algn="ctr"/>
          <a:r>
            <a:rPr lang="en-US" altLang="ko-KR" sz="1200" b="1">
              <a:solidFill>
                <a:schemeClr val="tx1"/>
              </a:solidFill>
            </a:rPr>
            <a:t>1TB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314325</xdr:colOff>
      <xdr:row>1</xdr:row>
      <xdr:rowOff>152400</xdr:rowOff>
    </xdr:from>
    <xdr:to>
      <xdr:col>1</xdr:col>
      <xdr:colOff>501303</xdr:colOff>
      <xdr:row>5</xdr:row>
      <xdr:rowOff>55147</xdr:rowOff>
    </xdr:to>
    <xdr:sp macro="[0]!Milan_Re_6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314325" y="447675"/>
          <a:ext cx="796578" cy="73142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Milan</a:t>
          </a:r>
        </a:p>
      </xdr:txBody>
    </xdr:sp>
    <xdr:clientData/>
  </xdr:twoCellAnchor>
  <xdr:twoCellAnchor>
    <xdr:from>
      <xdr:col>0</xdr:col>
      <xdr:colOff>304800</xdr:colOff>
      <xdr:row>13</xdr:row>
      <xdr:rowOff>180975</xdr:rowOff>
    </xdr:from>
    <xdr:to>
      <xdr:col>1</xdr:col>
      <xdr:colOff>491778</xdr:colOff>
      <xdr:row>17</xdr:row>
      <xdr:rowOff>64672</xdr:rowOff>
    </xdr:to>
    <xdr:sp macro="[0]!Dell_High_Re_18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304800" y="2990850"/>
          <a:ext cx="796578" cy="73142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Dell</a:t>
          </a:r>
        </a:p>
        <a:p>
          <a:pPr algn="ctr"/>
          <a:r>
            <a:rPr lang="en-US" altLang="ko-KR" sz="1200" b="1">
              <a:solidFill>
                <a:schemeClr val="tx1"/>
              </a:solidFill>
            </a:rPr>
            <a:t>High</a:t>
          </a:r>
        </a:p>
      </xdr:txBody>
    </xdr:sp>
    <xdr:clientData/>
  </xdr:twoCellAnchor>
  <xdr:twoCellAnchor>
    <xdr:from>
      <xdr:col>0</xdr:col>
      <xdr:colOff>314325</xdr:colOff>
      <xdr:row>25</xdr:row>
      <xdr:rowOff>171450</xdr:rowOff>
    </xdr:from>
    <xdr:to>
      <xdr:col>1</xdr:col>
      <xdr:colOff>501303</xdr:colOff>
      <xdr:row>29</xdr:row>
      <xdr:rowOff>55147</xdr:rowOff>
    </xdr:to>
    <xdr:sp macro="[0]!Dell_Low_Re_30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314325" y="5514975"/>
          <a:ext cx="796578" cy="73142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Dell</a:t>
          </a:r>
        </a:p>
        <a:p>
          <a:pPr algn="ctr"/>
          <a:r>
            <a:rPr lang="en-US" altLang="ko-KR" sz="1200" b="1">
              <a:solidFill>
                <a:schemeClr val="tx1"/>
              </a:solidFill>
            </a:rPr>
            <a:t>Low</a:t>
          </a:r>
        </a:p>
      </xdr:txBody>
    </xdr:sp>
    <xdr:clientData/>
  </xdr:twoCellAnchor>
  <xdr:twoCellAnchor>
    <xdr:from>
      <xdr:col>0</xdr:col>
      <xdr:colOff>304800</xdr:colOff>
      <xdr:row>37</xdr:row>
      <xdr:rowOff>180975</xdr:rowOff>
    </xdr:from>
    <xdr:to>
      <xdr:col>1</xdr:col>
      <xdr:colOff>491778</xdr:colOff>
      <xdr:row>41</xdr:row>
      <xdr:rowOff>64672</xdr:rowOff>
    </xdr:to>
    <xdr:sp macro="[0]!Lenovo_High_Re_42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304800" y="8058150"/>
          <a:ext cx="796578" cy="73142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Lenovo</a:t>
          </a:r>
        </a:p>
        <a:p>
          <a:pPr algn="ctr"/>
          <a:r>
            <a:rPr lang="en-US" altLang="ko-KR" sz="1200" b="1">
              <a:solidFill>
                <a:schemeClr val="tx1"/>
              </a:solidFill>
            </a:rPr>
            <a:t>High</a:t>
          </a:r>
        </a:p>
      </xdr:txBody>
    </xdr:sp>
    <xdr:clientData/>
  </xdr:twoCellAnchor>
  <xdr:twoCellAnchor>
    <xdr:from>
      <xdr:col>0</xdr:col>
      <xdr:colOff>304800</xdr:colOff>
      <xdr:row>49</xdr:row>
      <xdr:rowOff>152400</xdr:rowOff>
    </xdr:from>
    <xdr:to>
      <xdr:col>1</xdr:col>
      <xdr:colOff>491778</xdr:colOff>
      <xdr:row>53</xdr:row>
      <xdr:rowOff>36097</xdr:rowOff>
    </xdr:to>
    <xdr:sp macro="[0]!Lenovo_Low_Re_54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304800" y="10563225"/>
          <a:ext cx="796578" cy="73142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Lenovo</a:t>
          </a:r>
        </a:p>
        <a:p>
          <a:pPr algn="ctr"/>
          <a:r>
            <a:rPr lang="en-US" altLang="ko-KR" sz="1200" b="1">
              <a:solidFill>
                <a:schemeClr val="tx1"/>
              </a:solidFill>
            </a:rPr>
            <a:t>Low</a:t>
          </a:r>
        </a:p>
      </xdr:txBody>
    </xdr:sp>
    <xdr:clientData/>
  </xdr:twoCellAnchor>
  <xdr:twoCellAnchor>
    <xdr:from>
      <xdr:col>0</xdr:col>
      <xdr:colOff>314325</xdr:colOff>
      <xdr:row>61</xdr:row>
      <xdr:rowOff>190500</xdr:rowOff>
    </xdr:from>
    <xdr:to>
      <xdr:col>1</xdr:col>
      <xdr:colOff>501303</xdr:colOff>
      <xdr:row>65</xdr:row>
      <xdr:rowOff>74197</xdr:rowOff>
    </xdr:to>
    <xdr:sp macro="[0]!WD_512GB_66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314325" y="13134975"/>
          <a:ext cx="796578" cy="73142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ATLAS</a:t>
          </a:r>
        </a:p>
        <a:p>
          <a:pPr algn="ctr"/>
          <a:r>
            <a:rPr lang="en-US" altLang="ko-KR" sz="1200" b="1">
              <a:solidFill>
                <a:schemeClr val="tx1"/>
              </a:solidFill>
            </a:rPr>
            <a:t>256GB</a:t>
          </a:r>
        </a:p>
      </xdr:txBody>
    </xdr:sp>
    <xdr:clientData/>
  </xdr:twoCellAnchor>
  <xdr:twoCellAnchor>
    <xdr:from>
      <xdr:col>12</xdr:col>
      <xdr:colOff>0</xdr:colOff>
      <xdr:row>78</xdr:row>
      <xdr:rowOff>0</xdr:rowOff>
    </xdr:from>
    <xdr:to>
      <xdr:col>13</xdr:col>
      <xdr:colOff>544286</xdr:colOff>
      <xdr:row>81</xdr:row>
      <xdr:rowOff>29936</xdr:rowOff>
    </xdr:to>
    <xdr:sp macro="[0]!WD_1TB_Ref_CSV" textlink="">
      <xdr:nvSpPr>
        <xdr:cNvPr id="35" name="Right Arrow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>
          <a:off x="9458325" y="15697200"/>
          <a:ext cx="1153886" cy="658586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WD 1TB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62</xdr:row>
      <xdr:rowOff>0</xdr:rowOff>
    </xdr:from>
    <xdr:to>
      <xdr:col>13</xdr:col>
      <xdr:colOff>544286</xdr:colOff>
      <xdr:row>65</xdr:row>
      <xdr:rowOff>29936</xdr:rowOff>
    </xdr:to>
    <xdr:sp macro="[0]!WD_512GB_Ref_CSV" textlink="">
      <xdr:nvSpPr>
        <xdr:cNvPr id="36" name="Right Arrow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9458325" y="13163550"/>
          <a:ext cx="1153886" cy="658586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WD</a:t>
          </a:r>
          <a:r>
            <a:rPr lang="en-US" altLang="ko-KR" sz="1200" b="1" baseline="0">
              <a:solidFill>
                <a:schemeClr val="tx1"/>
              </a:solidFill>
            </a:rPr>
            <a:t> 512GB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50</xdr:row>
      <xdr:rowOff>0</xdr:rowOff>
    </xdr:from>
    <xdr:to>
      <xdr:col>13</xdr:col>
      <xdr:colOff>544286</xdr:colOff>
      <xdr:row>53</xdr:row>
      <xdr:rowOff>29936</xdr:rowOff>
    </xdr:to>
    <xdr:sp macro="[0]!Lenovo_Low_Re_CSV" textlink="">
      <xdr:nvSpPr>
        <xdr:cNvPr id="37" name="Right Arrow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>
        <a:xfrm>
          <a:off x="9458325" y="10629900"/>
          <a:ext cx="1153886" cy="658586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Lenovo Low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38</xdr:row>
      <xdr:rowOff>0</xdr:rowOff>
    </xdr:from>
    <xdr:to>
      <xdr:col>13</xdr:col>
      <xdr:colOff>544286</xdr:colOff>
      <xdr:row>41</xdr:row>
      <xdr:rowOff>29936</xdr:rowOff>
    </xdr:to>
    <xdr:sp macro="[0]!Lenovo_High_Re_CSV" textlink="">
      <xdr:nvSpPr>
        <xdr:cNvPr id="38" name="Right Arrow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>
        <a:xfrm>
          <a:off x="9458325" y="8096250"/>
          <a:ext cx="1153886" cy="658586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Lenovo High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26</xdr:row>
      <xdr:rowOff>0</xdr:rowOff>
    </xdr:from>
    <xdr:to>
      <xdr:col>13</xdr:col>
      <xdr:colOff>544286</xdr:colOff>
      <xdr:row>29</xdr:row>
      <xdr:rowOff>29936</xdr:rowOff>
    </xdr:to>
    <xdr:sp macro="[0]!Dell_Low_Ref_CSV" textlink="">
      <xdr:nvSpPr>
        <xdr:cNvPr id="39" name="Right Arrow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9458325" y="5562600"/>
          <a:ext cx="1153886" cy="658586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Dell Low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544286</xdr:colOff>
      <xdr:row>17</xdr:row>
      <xdr:rowOff>29936</xdr:rowOff>
    </xdr:to>
    <xdr:sp macro="[0]!Dell_High_Ref_CSV" textlink="">
      <xdr:nvSpPr>
        <xdr:cNvPr id="40" name="Right Arrow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>
        <a:xfrm>
          <a:off x="9458325" y="3028950"/>
          <a:ext cx="1153886" cy="658586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Dell High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13</xdr:col>
      <xdr:colOff>544286</xdr:colOff>
      <xdr:row>5</xdr:row>
      <xdr:rowOff>29936</xdr:rowOff>
    </xdr:to>
    <xdr:sp macro="[0]!Milan_Re_CSV" textlink="">
      <xdr:nvSpPr>
        <xdr:cNvPr id="41" name="Right Arrow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>
        <a:xfrm>
          <a:off x="9458325" y="495300"/>
          <a:ext cx="1153886" cy="658586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chemeClr val="tx1"/>
              </a:solidFill>
            </a:rPr>
            <a:t>Milan</a:t>
          </a:r>
          <a:endParaRPr lang="ko-KR" alt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0</xdr:colOff>
      <xdr:row>0</xdr:row>
      <xdr:rowOff>0</xdr:rowOff>
    </xdr:from>
    <xdr:to>
      <xdr:col>15</xdr:col>
      <xdr:colOff>835478</xdr:colOff>
      <xdr:row>1</xdr:row>
      <xdr:rowOff>0</xdr:rowOff>
    </xdr:to>
    <xdr:sp macro="[0]!Reset_Reference_SSW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>
        <a:xfrm>
          <a:off x="12220575" y="0"/>
          <a:ext cx="835478" cy="295275"/>
        </a:xfrm>
        <a:prstGeom prst="rect">
          <a:avLst/>
        </a:prstGeom>
        <a:solidFill>
          <a:srgbClr val="FF0000"/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FFFF00"/>
              </a:solidFill>
            </a:rPr>
            <a:t>RESET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36</xdr:row>
      <xdr:rowOff>66675</xdr:rowOff>
    </xdr:from>
    <xdr:to>
      <xdr:col>1</xdr:col>
      <xdr:colOff>304800</xdr:colOff>
      <xdr:row>39</xdr:row>
      <xdr:rowOff>152400</xdr:rowOff>
    </xdr:to>
    <xdr:sp macro="[0]!cdm7_256_Tab_Limited_Textfi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42875" y="6943725"/>
          <a:ext cx="762000" cy="6572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>
              <a:solidFill>
                <a:schemeClr val="tx1"/>
              </a:solidFill>
            </a:rPr>
            <a:t>256</a:t>
          </a:r>
        </a:p>
      </xdr:txBody>
    </xdr:sp>
    <xdr:clientData/>
  </xdr:twoCellAnchor>
  <xdr:twoCellAnchor>
    <xdr:from>
      <xdr:col>11</xdr:col>
      <xdr:colOff>76200</xdr:colOff>
      <xdr:row>36</xdr:row>
      <xdr:rowOff>76200</xdr:rowOff>
    </xdr:from>
    <xdr:to>
      <xdr:col>12</xdr:col>
      <xdr:colOff>28575</xdr:colOff>
      <xdr:row>39</xdr:row>
      <xdr:rowOff>161925</xdr:rowOff>
    </xdr:to>
    <xdr:sp macro="[0]!cdm7_512_Tab_Limited_Textfil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962650" y="6953250"/>
          <a:ext cx="552450" cy="65722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>
              <a:solidFill>
                <a:schemeClr val="tx1"/>
              </a:solidFill>
            </a:rPr>
            <a:t>1TB</a:t>
          </a:r>
        </a:p>
      </xdr:txBody>
    </xdr:sp>
    <xdr:clientData/>
  </xdr:twoCellAnchor>
  <xdr:twoCellAnchor>
    <xdr:from>
      <xdr:col>22</xdr:col>
      <xdr:colOff>95250</xdr:colOff>
      <xdr:row>36</xdr:row>
      <xdr:rowOff>85725</xdr:rowOff>
    </xdr:from>
    <xdr:to>
      <xdr:col>23</xdr:col>
      <xdr:colOff>257175</xdr:colOff>
      <xdr:row>39</xdr:row>
      <xdr:rowOff>171450</xdr:rowOff>
    </xdr:to>
    <xdr:sp macro="[0]!cdm7_1TB_Tab_Limited_Textfi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1858625" y="6962775"/>
          <a:ext cx="762000" cy="6572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>
              <a:solidFill>
                <a:schemeClr val="tx1"/>
              </a:solidFill>
            </a:rPr>
            <a:t>2TB</a:t>
          </a:r>
          <a:endParaRPr lang="en-US" sz="1200" b="1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47625</xdr:colOff>
      <xdr:row>36</xdr:row>
      <xdr:rowOff>76200</xdr:rowOff>
    </xdr:from>
    <xdr:to>
      <xdr:col>34</xdr:col>
      <xdr:colOff>323850</xdr:colOff>
      <xdr:row>39</xdr:row>
      <xdr:rowOff>161925</xdr:rowOff>
    </xdr:to>
    <xdr:sp macro="[0]!cdm7_2TB_Tab_Limited_Textfi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7687925" y="6953250"/>
          <a:ext cx="876300" cy="6572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>
              <a:solidFill>
                <a:schemeClr val="tx1"/>
              </a:solidFill>
            </a:rPr>
            <a:t>4TB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36</xdr:row>
      <xdr:rowOff>114300</xdr:rowOff>
    </xdr:from>
    <xdr:to>
      <xdr:col>1</xdr:col>
      <xdr:colOff>361950</xdr:colOff>
      <xdr:row>40</xdr:row>
      <xdr:rowOff>9525</xdr:rowOff>
    </xdr:to>
    <xdr:sp macro="[0]!cdm7_256_Tab_Limited_Textfi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6675" y="6991350"/>
          <a:ext cx="895350" cy="6572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>
              <a:solidFill>
                <a:schemeClr val="tx1"/>
              </a:solidFill>
            </a:rPr>
            <a:t>256</a:t>
          </a:r>
        </a:p>
      </xdr:txBody>
    </xdr:sp>
    <xdr:clientData/>
  </xdr:twoCellAnchor>
  <xdr:twoCellAnchor>
    <xdr:from>
      <xdr:col>11</xdr:col>
      <xdr:colOff>19050</xdr:colOff>
      <xdr:row>36</xdr:row>
      <xdr:rowOff>142875</xdr:rowOff>
    </xdr:from>
    <xdr:to>
      <xdr:col>12</xdr:col>
      <xdr:colOff>0</xdr:colOff>
      <xdr:row>40</xdr:row>
      <xdr:rowOff>38100</xdr:rowOff>
    </xdr:to>
    <xdr:sp macro="[0]!cdm7_512_Tab_Limited_Textfil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5829300" y="7019925"/>
          <a:ext cx="581025" cy="65722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>
              <a:solidFill>
                <a:schemeClr val="tx1"/>
              </a:solidFill>
            </a:rPr>
            <a:t>1TB</a:t>
          </a:r>
        </a:p>
      </xdr:txBody>
    </xdr:sp>
    <xdr:clientData/>
  </xdr:twoCellAnchor>
  <xdr:twoCellAnchor>
    <xdr:from>
      <xdr:col>22</xdr:col>
      <xdr:colOff>47625</xdr:colOff>
      <xdr:row>36</xdr:row>
      <xdr:rowOff>85725</xdr:rowOff>
    </xdr:from>
    <xdr:to>
      <xdr:col>23</xdr:col>
      <xdr:colOff>104775</xdr:colOff>
      <xdr:row>39</xdr:row>
      <xdr:rowOff>171450</xdr:rowOff>
    </xdr:to>
    <xdr:sp macro="[0]!cdm7_1TB_Tab_Limited_Textfi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1658600" y="6962775"/>
          <a:ext cx="657225" cy="6572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>
              <a:solidFill>
                <a:schemeClr val="tx1"/>
              </a:solidFill>
            </a:rPr>
            <a:t>2TB</a:t>
          </a:r>
        </a:p>
      </xdr:txBody>
    </xdr:sp>
    <xdr:clientData/>
  </xdr:twoCellAnchor>
  <xdr:twoCellAnchor>
    <xdr:from>
      <xdr:col>33</xdr:col>
      <xdr:colOff>76200</xdr:colOff>
      <xdr:row>36</xdr:row>
      <xdr:rowOff>85725</xdr:rowOff>
    </xdr:from>
    <xdr:to>
      <xdr:col>34</xdr:col>
      <xdr:colOff>352425</xdr:colOff>
      <xdr:row>39</xdr:row>
      <xdr:rowOff>171450</xdr:rowOff>
    </xdr:to>
    <xdr:sp macro="[0]!cdm7_2TB_Tab_Limited_Textfi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7487900" y="6962775"/>
          <a:ext cx="876300" cy="6572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>
              <a:solidFill>
                <a:schemeClr val="tx1"/>
              </a:solidFill>
            </a:rPr>
            <a:t>4TB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jira.sandisk.com/Fun.Testing%20Cycles/G5/G5%20-%20Beta%2025%20-%20IN0131/Reports/Qualification%20Report/Qual%20Report%20Beta%2025%20IN013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jira.sandisk.com/Fun.Testing%20Cycles/G5/G5%20-%20Beta%2023%20-%20IN0102/Reports/Qualification%20Report/Qual%20Report%20Beta%2023%20IN010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jira.sandisk.com/Documents%20and%20Settings/noam.weisman/Local%20Settings/Temporary%20Internet%20Files/Content.Outlook/ACHW6ITL/Qual_Report_Beta_13_AD1233_Erez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jira.sandisk.com/Fun.Testing%20Cycles/G5/G5%20-%20Beta%2029%20-%20IN0203/Reports/Qual%20Report/Qual%20Report%20Beta%2029%20IN0203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jira.sandisk.com/C/Users/haron.thaoho/Desktop/Qual%20Report%20(haron)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jira.sandisk.com/Users/6436/Desktop/Qual%20Report%20Beta%2011%20AD1157_OrenErez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ejira.sandisk.com/Documents%20and%20Settings/noam.weisman/Local%20Settings/Temporary%20Internet%20Files/Content.Outlook/ACHW6ITL/Qual_Report_Beta_13_AD123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cument Information"/>
      <sheetName val="Summary Information"/>
      <sheetName val="Latest Daily Report"/>
      <sheetName val="Charts"/>
      <sheetName val="Key Results - IN0131"/>
      <sheetName val="ES Criteria"/>
      <sheetName val="Tools List"/>
      <sheetName val="Bugs List + Decisions"/>
      <sheetName val="Electrical tests"/>
      <sheetName val="Characteristics tests"/>
      <sheetName val="Thermal Throttling"/>
      <sheetName val="Power modes (DIPM)"/>
      <sheetName val="Timing"/>
      <sheetName val="Power ConsumptionVsPerformance"/>
      <sheetName val="Functionality Tests"/>
      <sheetName val="HP Tools"/>
      <sheetName val="OS Test cases IN0131LP"/>
      <sheetName val="OS Test cases IN0131LQ"/>
      <sheetName val="Performance Sony"/>
      <sheetName val="Performance Dell"/>
      <sheetName val="Performance Samsung"/>
      <sheetName val="Performance - IN0131"/>
      <sheetName val="Performance - IO Meter"/>
      <sheetName val="Raid"/>
      <sheetName val="ATA-ATAPI Tools"/>
      <sheetName val="ATA Protocol (Drive Master)"/>
      <sheetName val="Lenovo Sniff test - LP"/>
      <sheetName val="Lenovo Sniff test - LQ"/>
      <sheetName val="Lenovo Performance"/>
      <sheetName val="Lenovo benchmarking methodology"/>
      <sheetName val="RDT"/>
      <sheetName val="FFU"/>
      <sheetName val="WHQL"/>
      <sheetName val="Jupiter Tests"/>
      <sheetName val="Lenovo WA scripts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H2">
            <v>0</v>
          </cell>
          <cell r="I2">
            <v>0</v>
          </cell>
        </row>
        <row r="3">
          <cell r="H3" t="str">
            <v>64GB</v>
          </cell>
          <cell r="I3" t="str">
            <v>2.5''</v>
          </cell>
        </row>
        <row r="4">
          <cell r="H4" t="str">
            <v>128GB</v>
          </cell>
          <cell r="I4" t="str">
            <v>Orbit</v>
          </cell>
        </row>
        <row r="5">
          <cell r="H5" t="str">
            <v>256GB</v>
          </cell>
          <cell r="I5" t="str">
            <v>mSata</v>
          </cell>
        </row>
        <row r="6">
          <cell r="H6" t="str">
            <v>512GB</v>
          </cell>
        </row>
        <row r="7">
          <cell r="H7" t="str">
            <v>1024GB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cument Information"/>
      <sheetName val="Summary Information"/>
      <sheetName val="Latest Daily Report"/>
      <sheetName val="Charts"/>
      <sheetName val="Performance-IN0102 vs SeqNoAce"/>
      <sheetName val="Key Results - IN0102"/>
      <sheetName val="ES Criteria"/>
      <sheetName val="Tools List"/>
      <sheetName val="Bugs List + Decisions"/>
      <sheetName val="Electrical tests"/>
      <sheetName val="Characteristics tests"/>
      <sheetName val="Thermal Throttling"/>
      <sheetName val="Power modes (DIPM)"/>
      <sheetName val="Timing"/>
      <sheetName val="Power ConsumptionVsPerformance"/>
      <sheetName val="Functionality Tests"/>
      <sheetName val="HP Tools"/>
      <sheetName val="OS Test cases"/>
      <sheetName val="Performance Sony"/>
      <sheetName val="Performance Dell"/>
      <sheetName val="Performance Samsung"/>
      <sheetName val="Performance - IN0102"/>
      <sheetName val="Performance - IO Meter"/>
      <sheetName val="Raid"/>
      <sheetName val="ATA-ATAPI Tools"/>
      <sheetName val="ATA Protocol (Drive Master)"/>
      <sheetName val="Lenovo Sniff test"/>
      <sheetName val="Lenovo Performance"/>
      <sheetName val="Lenovo benchmarking methodology"/>
      <sheetName val="RDT"/>
      <sheetName val="FFU"/>
      <sheetName val="WHQL"/>
      <sheetName val="Jupiter Tests"/>
      <sheetName val="Lenovo WA scrip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K2">
            <v>0</v>
          </cell>
        </row>
        <row r="3">
          <cell r="K3" t="str">
            <v>Pass</v>
          </cell>
        </row>
        <row r="4">
          <cell r="K4" t="str">
            <v>Fail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cument Information"/>
      <sheetName val="Summary Information"/>
      <sheetName val="Latest Daily Report"/>
      <sheetName val="Charts"/>
      <sheetName val="Key Results - AD1195"/>
      <sheetName val="ES Criteria"/>
      <sheetName val="Tools List"/>
      <sheetName val="Bugs List + Decisions"/>
      <sheetName val="Electrical tests"/>
      <sheetName val="Characteristics tests"/>
      <sheetName val="Thermal Throttling"/>
      <sheetName val="Power modes (DIPM)"/>
      <sheetName val="Timing"/>
      <sheetName val="Power ConsumptionVsPerformance"/>
      <sheetName val="Functionality Tests"/>
      <sheetName val="HP Tools"/>
      <sheetName val="OS Test cases"/>
      <sheetName val="Performance Dell-Sony"/>
      <sheetName val="Performance Samsung"/>
      <sheetName val="Performance - AD1233PM"/>
      <sheetName val="Performance - IO Meter"/>
      <sheetName val="Raid"/>
      <sheetName val="ATA-ATAPI Tools"/>
      <sheetName val="ATA Protocol (Drive Master)"/>
      <sheetName val="Lenovo Sniff test"/>
      <sheetName val="Lenovo Performance"/>
      <sheetName val="RDT"/>
      <sheetName val="FFU"/>
      <sheetName val="WHQL"/>
      <sheetName val="Jupiter Te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G3" t="str">
            <v>Dell Optiplex 990</v>
          </cell>
          <cell r="I3" t="str">
            <v>2.5''</v>
          </cell>
          <cell r="J3" t="str">
            <v>AD1195AR</v>
          </cell>
          <cell r="K3" t="str">
            <v>Pass</v>
          </cell>
        </row>
        <row r="4">
          <cell r="G4" t="str">
            <v xml:space="preserve">Sandy Bridge - H67_C </v>
          </cell>
          <cell r="I4" t="str">
            <v>Orbit</v>
          </cell>
          <cell r="J4" t="str">
            <v>AD1195PM</v>
          </cell>
          <cell r="K4" t="str">
            <v>Fail</v>
          </cell>
        </row>
        <row r="5">
          <cell r="G5" t="str">
            <v>Mac Book Air</v>
          </cell>
          <cell r="I5" t="str">
            <v>mSata</v>
          </cell>
          <cell r="J5" t="str">
            <v>AD1195O3</v>
          </cell>
        </row>
        <row r="6">
          <cell r="G6" t="str">
            <v>Mac Pro</v>
          </cell>
        </row>
        <row r="7">
          <cell r="G7" t="str">
            <v>MacBook Pro</v>
          </cell>
        </row>
        <row r="8">
          <cell r="G8" t="str">
            <v xml:space="preserve">Mac Book </v>
          </cell>
        </row>
        <row r="9">
          <cell r="G9" t="str">
            <v>Mac Mini</v>
          </cell>
        </row>
        <row r="10">
          <cell r="G10" t="str">
            <v>Lenovo T420</v>
          </cell>
        </row>
        <row r="11">
          <cell r="G11" t="str">
            <v>Lenovo X301</v>
          </cell>
        </row>
        <row r="12">
          <cell r="G12" t="str">
            <v>X61</v>
          </cell>
        </row>
        <row r="13">
          <cell r="G13" t="str">
            <v>T410i</v>
          </cell>
        </row>
        <row r="14">
          <cell r="G14" t="str">
            <v>T400S</v>
          </cell>
        </row>
        <row r="15">
          <cell r="G15" t="str">
            <v>T500</v>
          </cell>
        </row>
        <row r="16">
          <cell r="G16" t="str">
            <v>X61 + UltraBay</v>
          </cell>
        </row>
        <row r="17">
          <cell r="G17" t="str">
            <v>T61</v>
          </cell>
        </row>
        <row r="18">
          <cell r="G18" t="str">
            <v>X100e</v>
          </cell>
        </row>
        <row r="19">
          <cell r="G19" t="str">
            <v>ThinkPad Edge</v>
          </cell>
        </row>
        <row r="20">
          <cell r="G20" t="str">
            <v>Dell Latitude D630</v>
          </cell>
        </row>
        <row r="21">
          <cell r="G21" t="str">
            <v>Dell Latitude D620</v>
          </cell>
        </row>
        <row r="22">
          <cell r="G22" t="str">
            <v>Dell OptiPlex GX 620</v>
          </cell>
        </row>
        <row r="23">
          <cell r="G23" t="str">
            <v>Dell OptiPlex 780</v>
          </cell>
        </row>
        <row r="24">
          <cell r="G24" t="str">
            <v>Dell OptiPlex 740</v>
          </cell>
        </row>
        <row r="25">
          <cell r="G25" t="str">
            <v>Dell OptiPlex GX 520</v>
          </cell>
        </row>
        <row r="26">
          <cell r="G26" t="str">
            <v>Dell OptiPlex 755</v>
          </cell>
        </row>
        <row r="27">
          <cell r="G27" t="str">
            <v>Dell Precision 380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cument Information"/>
      <sheetName val="Summary Information"/>
      <sheetName val="Latest Daily Report"/>
      <sheetName val="Charts"/>
      <sheetName val="Key Results - IN0203"/>
      <sheetName val="ES Criteria"/>
      <sheetName val="Tools List"/>
      <sheetName val="Bugs List + Decisions"/>
      <sheetName val="Electrical tests"/>
      <sheetName val="Characteristics tests"/>
      <sheetName val="Apple Thermal Throttling"/>
      <sheetName val="Power modes (DIPM)"/>
      <sheetName val="Timing"/>
      <sheetName val="Power ConsumptionVsPerformance"/>
      <sheetName val="Functionality Tests"/>
      <sheetName val="HP Tools"/>
      <sheetName val="OS Test cases"/>
      <sheetName val="Performance Sony"/>
      <sheetName val="Performance Dell"/>
      <sheetName val="Samsung - Pyxis"/>
      <sheetName val="Performance Samsung"/>
      <sheetName val="Performance - IN0203"/>
      <sheetName val="Performance - IO Meter"/>
      <sheetName val="Raid"/>
      <sheetName val="ATA-ATAPI Tools"/>
      <sheetName val="ATA Protocol (Drive Master)"/>
      <sheetName val="Lenovo Sniff test"/>
      <sheetName val="Lenovo Performance"/>
      <sheetName val="Lenovo benchmarking methodology"/>
      <sheetName val="RDT"/>
      <sheetName val="FFU"/>
      <sheetName val="WHQL"/>
      <sheetName val="Jupiter Tests"/>
      <sheetName val="Lenovo WA scrip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K3" t="str">
            <v>Pass</v>
          </cell>
        </row>
        <row r="4">
          <cell r="K4" t="str">
            <v>Fail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cument Information"/>
      <sheetName val="Summary Information"/>
      <sheetName val="Charts"/>
      <sheetName val="Key Results - AD1195"/>
      <sheetName val="ES Criteria"/>
      <sheetName val="Tools List"/>
      <sheetName val="Bugs List + Decisions"/>
      <sheetName val="Electrical tests"/>
      <sheetName val="Characteristics tests"/>
      <sheetName val="Thermal Throttling"/>
      <sheetName val="Power modes (DIPM)"/>
      <sheetName val="Timing"/>
      <sheetName val="Power ConsumptionVsPerformance"/>
      <sheetName val="Functionality Tests"/>
      <sheetName val="HP Tools"/>
      <sheetName val="OS Test cases"/>
      <sheetName val="Performance - AD1195AR"/>
      <sheetName val="Performance - AD1195PM"/>
      <sheetName val="Performance - IO Meter"/>
      <sheetName val="Raid"/>
      <sheetName val="ATA-ATAPI Tools"/>
      <sheetName val="ATA Protocol (Drive Master)"/>
      <sheetName val="Lenovo Sniff test"/>
      <sheetName val="Lenovo Performance"/>
      <sheetName val="RDT"/>
      <sheetName val="FFU"/>
      <sheetName val="WHQL"/>
      <sheetName val="Jupiter Tests"/>
    </sheetNames>
    <sheetDataSet>
      <sheetData sheetId="0"/>
      <sheetData sheetId="1"/>
      <sheetData sheetId="2"/>
      <sheetData sheetId="3"/>
      <sheetData sheetId="4"/>
      <sheetData sheetId="5">
        <row r="3">
          <cell r="K3" t="str">
            <v>Pass</v>
          </cell>
        </row>
        <row r="4">
          <cell r="K4" t="str">
            <v>Fail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cument Information"/>
      <sheetName val="Summary Information"/>
      <sheetName val="Charts"/>
      <sheetName val="Key Results"/>
      <sheetName val="Tools List"/>
      <sheetName val="Bugs List + Decisions"/>
      <sheetName val="Electrical tests"/>
      <sheetName val="Characteristics tests"/>
      <sheetName val="Power modes (DIPM)"/>
      <sheetName val="Timing"/>
      <sheetName val="Power ConsumptionVsPerformance"/>
      <sheetName val="Functionality Tests"/>
      <sheetName val="HP Tools"/>
      <sheetName val="OS Test cases"/>
      <sheetName val="Performance"/>
      <sheetName val="Performance - IO Meter"/>
      <sheetName val="Raid"/>
      <sheetName val="ATA-ATAPI Tools"/>
      <sheetName val="ATA Protocol (Drive Master)"/>
      <sheetName val="Lenovo Sniff test"/>
      <sheetName val="RDT"/>
      <sheetName val="FFU"/>
      <sheetName val="WHQL"/>
      <sheetName val="Jupiter Tests"/>
    </sheetNames>
    <sheetDataSet>
      <sheetData sheetId="0"/>
      <sheetData sheetId="1"/>
      <sheetData sheetId="2"/>
      <sheetData sheetId="3"/>
      <sheetData sheetId="4">
        <row r="3">
          <cell r="G3" t="str">
            <v>Dell Optiplex 990</v>
          </cell>
          <cell r="K3" t="str">
            <v>Pass</v>
          </cell>
        </row>
        <row r="4">
          <cell r="G4" t="str">
            <v xml:space="preserve">Sandy Bridge - H67_C </v>
          </cell>
          <cell r="K4" t="str">
            <v>Fail</v>
          </cell>
        </row>
        <row r="5">
          <cell r="G5" t="str">
            <v>Mac Book Air</v>
          </cell>
        </row>
        <row r="6">
          <cell r="G6" t="str">
            <v>Mac Pro</v>
          </cell>
        </row>
        <row r="7">
          <cell r="G7" t="str">
            <v>MacBook Pro</v>
          </cell>
        </row>
        <row r="8">
          <cell r="G8" t="str">
            <v xml:space="preserve">Mac Book </v>
          </cell>
        </row>
        <row r="9">
          <cell r="G9" t="str">
            <v>Mac Mini</v>
          </cell>
        </row>
        <row r="10">
          <cell r="G10" t="str">
            <v>Lenovo T420</v>
          </cell>
        </row>
        <row r="11">
          <cell r="G11" t="str">
            <v>Lenovo X301</v>
          </cell>
        </row>
        <row r="12">
          <cell r="G12" t="str">
            <v>X61</v>
          </cell>
        </row>
        <row r="13">
          <cell r="G13" t="str">
            <v>T410i</v>
          </cell>
        </row>
        <row r="14">
          <cell r="G14" t="str">
            <v>T400S</v>
          </cell>
        </row>
        <row r="15">
          <cell r="G15" t="str">
            <v>T500</v>
          </cell>
        </row>
        <row r="16">
          <cell r="G16" t="str">
            <v>X61 + UltraBay</v>
          </cell>
        </row>
        <row r="17">
          <cell r="G17" t="str">
            <v>T61</v>
          </cell>
        </row>
        <row r="18">
          <cell r="G18" t="str">
            <v>X100e</v>
          </cell>
        </row>
        <row r="19">
          <cell r="G19" t="str">
            <v>ThinkPad Edge</v>
          </cell>
        </row>
        <row r="20">
          <cell r="G20" t="str">
            <v>Dell Latitude D630</v>
          </cell>
        </row>
        <row r="21">
          <cell r="G21" t="str">
            <v>Dell Latitude D620</v>
          </cell>
        </row>
        <row r="22">
          <cell r="G22" t="str">
            <v>Dell OptiPlex GX 620</v>
          </cell>
        </row>
        <row r="23">
          <cell r="G23" t="str">
            <v>Dell OptiPlex 780</v>
          </cell>
        </row>
        <row r="24">
          <cell r="G24" t="str">
            <v>Dell OptiPlex 740</v>
          </cell>
        </row>
        <row r="25">
          <cell r="G25" t="str">
            <v>Dell OptiPlex GX 520</v>
          </cell>
        </row>
        <row r="26">
          <cell r="G26" t="str">
            <v>Dell OptiPlex 755</v>
          </cell>
        </row>
        <row r="27">
          <cell r="G27" t="str">
            <v>Dell Precision 380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cument Information"/>
      <sheetName val="Summary Information"/>
      <sheetName val="Latest Daily Report"/>
      <sheetName val="Charts"/>
      <sheetName val="Key Results - AD1233"/>
      <sheetName val="ES Criteria"/>
      <sheetName val="Tools List"/>
      <sheetName val="Bugs List + Decisions"/>
      <sheetName val="Electrical tests"/>
      <sheetName val="Characteristics tests"/>
      <sheetName val="Thermal Throttling"/>
      <sheetName val="Power modes (DIPM)"/>
      <sheetName val="Timing"/>
      <sheetName val="Power ConsumptionVsPerformance"/>
      <sheetName val="Functionality Tests"/>
      <sheetName val="HP Tools"/>
      <sheetName val="OS Test cases"/>
      <sheetName val="Performance Dell-Sony"/>
      <sheetName val="Performance Samsung"/>
      <sheetName val="Performance - AD1233PM"/>
      <sheetName val="Performance - IO Meter"/>
      <sheetName val="Raid"/>
      <sheetName val="ATA-ATAPI Tools"/>
      <sheetName val="ATA Protocol (Drive Master)"/>
      <sheetName val="Lenovo Sniff test"/>
      <sheetName val="Lenovo Performance"/>
      <sheetName val="RDT"/>
      <sheetName val="FFU"/>
      <sheetName val="WHQL"/>
      <sheetName val="Jupiter Te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G3" t="str">
            <v>Dell Optiplex 990</v>
          </cell>
        </row>
        <row r="4">
          <cell r="G4" t="str">
            <v xml:space="preserve">Sandy Bridge - H67_C </v>
          </cell>
        </row>
        <row r="5">
          <cell r="G5" t="str">
            <v>Mac Book Air</v>
          </cell>
        </row>
        <row r="6">
          <cell r="G6" t="str">
            <v>Mac Pro</v>
          </cell>
        </row>
        <row r="7">
          <cell r="G7" t="str">
            <v>MacBook Pro</v>
          </cell>
        </row>
        <row r="8">
          <cell r="G8" t="str">
            <v xml:space="preserve">Mac Book </v>
          </cell>
        </row>
        <row r="9">
          <cell r="G9" t="str">
            <v>Mac Mini</v>
          </cell>
        </row>
        <row r="10">
          <cell r="G10" t="str">
            <v>Lenovo T420</v>
          </cell>
        </row>
        <row r="11">
          <cell r="G11" t="str">
            <v>Lenovo X301</v>
          </cell>
        </row>
        <row r="12">
          <cell r="G12" t="str">
            <v>X61</v>
          </cell>
        </row>
        <row r="13">
          <cell r="G13" t="str">
            <v>T410i</v>
          </cell>
        </row>
        <row r="14">
          <cell r="G14" t="str">
            <v>T400S</v>
          </cell>
        </row>
        <row r="15">
          <cell r="G15" t="str">
            <v>T500</v>
          </cell>
        </row>
        <row r="16">
          <cell r="G16" t="str">
            <v>X61 + UltraBay</v>
          </cell>
        </row>
        <row r="17">
          <cell r="G17" t="str">
            <v>T61</v>
          </cell>
        </row>
        <row r="18">
          <cell r="G18" t="str">
            <v>X100e</v>
          </cell>
        </row>
        <row r="19">
          <cell r="G19" t="str">
            <v>ThinkPad Edge</v>
          </cell>
        </row>
        <row r="20">
          <cell r="G20" t="str">
            <v>Dell Latitude D630</v>
          </cell>
        </row>
        <row r="21">
          <cell r="G21" t="str">
            <v>Dell Latitude D620</v>
          </cell>
        </row>
        <row r="22">
          <cell r="G22" t="str">
            <v>Dell OptiPlex GX 620</v>
          </cell>
        </row>
        <row r="23">
          <cell r="G23" t="str">
            <v>Dell OptiPlex 780</v>
          </cell>
        </row>
        <row r="24">
          <cell r="G24" t="str">
            <v>Dell OptiPlex 740</v>
          </cell>
        </row>
        <row r="25">
          <cell r="G25" t="str">
            <v>Dell OptiPlex GX 520</v>
          </cell>
        </row>
        <row r="26">
          <cell r="G26" t="str">
            <v>Dell OptiPlex 755</v>
          </cell>
        </row>
        <row r="27">
          <cell r="G27" t="str">
            <v>Dell Precision 380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5">
            <a:lumMod val="20000"/>
            <a:lumOff val="80000"/>
          </a:schemeClr>
        </a:solidFill>
        <a:ln>
          <a:solidFill>
            <a:schemeClr val="bg1">
              <a:lumMod val="95000"/>
            </a:schemeClr>
          </a:solidFill>
        </a:ln>
      </a:spPr>
      <a:bodyPr vertOverflow="clip" horzOverflow="clip" rtlCol="0" anchor="t"/>
      <a:lstStyle>
        <a:defPPr algn="l">
          <a:defRPr sz="1200" b="1">
            <a:solidFill>
              <a:schemeClr val="tx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file:///\\usg-op-fpgcss01.wdc.com\fpgcss_ci\atlas3\Firmware\Releases\Unofficial_Builds\05929_955f5864\05929AKO\atlas3_sed_BOT" TargetMode="External"/><Relationship Id="rId2" Type="http://schemas.openxmlformats.org/officeDocument/2006/relationships/hyperlink" Target="file:///\\usg-op-fpgcss01.wdc.com\fpgcss_ci\atlas3\Firmware\Releases\Unofficial_Builds\05900_c10da90a\05900AKO" TargetMode="External"/><Relationship Id="rId1" Type="http://schemas.openxmlformats.org/officeDocument/2006/relationships/hyperlink" Target="https://artifactory.wdc.com/artifactory/fpg-css-fw-release-global/33fbf440/R1020UCO/atlasr_sed/RelPkg_20220428_022648_atlasr_sed.zip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artifactory.wdc.com/artifactory/fpg-css-fw-release-uls/898eaa7967ebc860305de3f6674d95df730eac29/AO050AKO/atlas3_sed/RelPkg_20240516_034749_atlas3_sed.zi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AF24"/>
  <sheetViews>
    <sheetView showGridLines="0" zoomScaleNormal="100" workbookViewId="0">
      <selection activeCell="V24" sqref="V24"/>
    </sheetView>
  </sheetViews>
  <sheetFormatPr defaultColWidth="9.140625" defaultRowHeight="12.75"/>
  <cols>
    <col min="1" max="1" width="4.7109375" style="1" customWidth="1"/>
    <col min="2" max="2" width="14.5703125" style="1" customWidth="1"/>
    <col min="3" max="3" width="23.7109375" style="1" customWidth="1"/>
    <col min="4" max="4" width="10.5703125" style="1" hidden="1" customWidth="1"/>
    <col min="5" max="5" width="13.42578125" style="1" hidden="1" customWidth="1"/>
    <col min="6" max="6" width="9" style="1" hidden="1" customWidth="1"/>
    <col min="7" max="7" width="10.5703125" style="1" hidden="1" customWidth="1"/>
    <col min="8" max="8" width="13.42578125" style="1" hidden="1" customWidth="1"/>
    <col min="9" max="9" width="9.140625" style="1" hidden="1" customWidth="1"/>
    <col min="10" max="10" width="10.5703125" style="1" hidden="1" customWidth="1"/>
    <col min="11" max="11" width="13.42578125" style="1" hidden="1" customWidth="1"/>
    <col min="12" max="12" width="8.7109375" style="1" hidden="1" customWidth="1"/>
    <col min="13" max="13" width="10.5703125" style="1" hidden="1" customWidth="1"/>
    <col min="14" max="14" width="13.42578125" style="1" hidden="1" customWidth="1"/>
    <col min="15" max="15" width="9.140625" style="1" hidden="1" customWidth="1"/>
    <col min="16" max="16" width="10.5703125" style="1" hidden="1" customWidth="1"/>
    <col min="17" max="17" width="13.42578125" style="1" hidden="1" customWidth="1"/>
    <col min="18" max="18" width="8.5703125" style="1" hidden="1" customWidth="1"/>
    <col min="19" max="19" width="10.5703125" style="1" hidden="1" customWidth="1"/>
    <col min="20" max="20" width="13.42578125" style="1" hidden="1" customWidth="1"/>
    <col min="21" max="22" width="10.5703125" style="1" hidden="1" customWidth="1"/>
    <col min="23" max="23" width="13.42578125" style="1" hidden="1" customWidth="1"/>
    <col min="24" max="24" width="11.140625" style="1" hidden="1" customWidth="1"/>
    <col min="25" max="25" width="17.5703125" style="1" bestFit="1" customWidth="1"/>
    <col min="26" max="26" width="15.28515625" style="1" customWidth="1"/>
    <col min="27" max="27" width="16.42578125" style="1" customWidth="1"/>
    <col min="28" max="28" width="17.5703125" style="1" customWidth="1"/>
    <col min="29" max="29" width="21.28515625" style="1" customWidth="1"/>
    <col min="30" max="30" width="11.7109375" style="1" customWidth="1"/>
    <col min="31" max="33" width="9.140625" style="1" customWidth="1"/>
    <col min="34" max="16384" width="9.140625" style="1"/>
  </cols>
  <sheetData>
    <row r="1" spans="2:32" ht="12.75" customHeight="1"/>
    <row r="2" spans="2:32" ht="23.25">
      <c r="B2" s="251" t="s">
        <v>73</v>
      </c>
      <c r="C2" s="251"/>
    </row>
    <row r="3" spans="2:32" ht="14.25" customHeight="1"/>
    <row r="4" spans="2:32" ht="13.5" customHeight="1">
      <c r="B4" s="255" t="s">
        <v>1</v>
      </c>
      <c r="C4" s="255"/>
      <c r="D4" s="262" t="s">
        <v>57</v>
      </c>
      <c r="E4" s="263"/>
      <c r="F4" s="263"/>
      <c r="G4" s="263"/>
      <c r="H4" s="263"/>
      <c r="I4" s="263"/>
      <c r="J4" s="263"/>
      <c r="K4" s="263"/>
      <c r="L4" s="263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  <c r="X4" s="263"/>
      <c r="Y4" s="263"/>
      <c r="Z4" s="263"/>
      <c r="AA4" s="263"/>
      <c r="AB4" s="263"/>
      <c r="AC4" s="263"/>
      <c r="AD4" s="263"/>
    </row>
    <row r="5" spans="2:32" ht="14.25" customHeight="1">
      <c r="B5" s="256" t="s">
        <v>21</v>
      </c>
      <c r="C5" s="256"/>
      <c r="D5" s="257" t="s">
        <v>54</v>
      </c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61"/>
      <c r="Q5" s="261"/>
      <c r="R5" s="261"/>
      <c r="S5" s="261"/>
      <c r="T5" s="261"/>
      <c r="U5" s="261"/>
      <c r="V5" s="261"/>
      <c r="W5" s="261"/>
      <c r="X5" s="261"/>
      <c r="Y5" s="261"/>
      <c r="Z5" s="261"/>
      <c r="AA5" s="261"/>
      <c r="AB5" s="261"/>
      <c r="AC5" s="261"/>
      <c r="AD5" s="261"/>
    </row>
    <row r="6" spans="2:32" ht="14.25" customHeight="1">
      <c r="B6" s="257" t="s">
        <v>72</v>
      </c>
      <c r="C6" s="258"/>
      <c r="D6" s="52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276" t="s">
        <v>76</v>
      </c>
      <c r="T6" s="276"/>
      <c r="U6" s="276"/>
      <c r="V6" s="276"/>
      <c r="W6" s="276"/>
      <c r="X6" s="276"/>
      <c r="Y6" s="276"/>
      <c r="Z6" s="276"/>
      <c r="AA6" s="276"/>
      <c r="AB6" s="276"/>
      <c r="AC6" s="276"/>
      <c r="AD6" s="276"/>
    </row>
    <row r="7" spans="2:32" ht="14.25" customHeight="1">
      <c r="B7" s="257" t="s">
        <v>25</v>
      </c>
      <c r="C7" s="258"/>
      <c r="D7" s="250" t="s">
        <v>26</v>
      </c>
      <c r="E7" s="250"/>
      <c r="F7" s="250"/>
      <c r="G7" s="270" t="s">
        <v>34</v>
      </c>
      <c r="H7" s="270"/>
      <c r="I7" s="270"/>
      <c r="J7" s="270"/>
      <c r="K7" s="270"/>
      <c r="L7" s="270"/>
      <c r="M7" s="250" t="s">
        <v>27</v>
      </c>
      <c r="N7" s="250"/>
      <c r="O7" s="250"/>
      <c r="P7" s="250"/>
      <c r="Q7" s="250"/>
      <c r="R7" s="250"/>
      <c r="S7" s="257" t="s">
        <v>90</v>
      </c>
      <c r="T7" s="261"/>
      <c r="U7" s="261"/>
      <c r="V7" s="261"/>
      <c r="W7" s="261"/>
      <c r="X7" s="261"/>
      <c r="Y7" s="261"/>
      <c r="Z7" s="261"/>
      <c r="AA7" s="261"/>
      <c r="AB7" s="261"/>
      <c r="AC7" s="261"/>
      <c r="AD7" s="261"/>
    </row>
    <row r="8" spans="2:32" ht="13.5" customHeight="1">
      <c r="B8" s="256" t="s">
        <v>89</v>
      </c>
      <c r="C8" s="257"/>
      <c r="D8" s="250" t="s">
        <v>23</v>
      </c>
      <c r="E8" s="250"/>
      <c r="F8" s="250"/>
      <c r="G8" s="271" t="s">
        <v>23</v>
      </c>
      <c r="H8" s="272"/>
      <c r="I8" s="272"/>
      <c r="J8" s="272"/>
      <c r="K8" s="272"/>
      <c r="L8" s="273"/>
      <c r="M8" s="250" t="s">
        <v>23</v>
      </c>
      <c r="N8" s="250"/>
      <c r="O8" s="250"/>
      <c r="P8" s="250" t="s">
        <v>24</v>
      </c>
      <c r="Q8" s="250"/>
      <c r="R8" s="250"/>
      <c r="S8" s="271" t="s">
        <v>86</v>
      </c>
      <c r="T8" s="272"/>
      <c r="U8" s="272"/>
      <c r="V8" s="272"/>
      <c r="W8" s="272"/>
      <c r="X8" s="273"/>
      <c r="Y8" s="264" t="s">
        <v>37</v>
      </c>
      <c r="Z8" s="265"/>
      <c r="AA8" s="265"/>
      <c r="AB8" s="265"/>
      <c r="AC8" s="265"/>
      <c r="AD8" s="265"/>
    </row>
    <row r="9" spans="2:32" ht="13.5" customHeight="1">
      <c r="B9" s="256" t="s">
        <v>2</v>
      </c>
      <c r="C9" s="256"/>
      <c r="D9" s="266">
        <v>154295412866</v>
      </c>
      <c r="E9" s="266"/>
      <c r="F9" s="266"/>
      <c r="G9" s="274">
        <v>160362640172</v>
      </c>
      <c r="H9" s="274"/>
      <c r="I9" s="274"/>
      <c r="J9" s="274">
        <v>160362640433</v>
      </c>
      <c r="K9" s="274"/>
      <c r="L9" s="274"/>
      <c r="M9" s="275">
        <v>152334610025</v>
      </c>
      <c r="N9" s="275"/>
      <c r="O9" s="275"/>
      <c r="P9" s="266">
        <v>153445610026</v>
      </c>
      <c r="Q9" s="266"/>
      <c r="R9" s="266"/>
      <c r="S9" s="267">
        <v>160357640402</v>
      </c>
      <c r="T9" s="268"/>
      <c r="U9" s="268"/>
      <c r="V9" s="268"/>
      <c r="W9" s="268"/>
      <c r="X9" s="269"/>
      <c r="Y9" s="259">
        <v>160362640316</v>
      </c>
      <c r="Z9" s="260"/>
      <c r="AA9" s="260"/>
      <c r="AB9" s="260"/>
      <c r="AC9" s="260"/>
      <c r="AD9" s="277"/>
    </row>
    <row r="10" spans="2:32" ht="13.5" hidden="1" customHeight="1">
      <c r="B10" s="256" t="s">
        <v>35</v>
      </c>
      <c r="C10" s="256"/>
      <c r="D10" s="266">
        <v>2507588</v>
      </c>
      <c r="E10" s="266"/>
      <c r="F10" s="266"/>
      <c r="G10" s="267">
        <v>2511539</v>
      </c>
      <c r="H10" s="268"/>
      <c r="I10" s="268"/>
      <c r="J10" s="268"/>
      <c r="K10" s="268"/>
      <c r="L10" s="269"/>
      <c r="M10" s="266">
        <v>2468808</v>
      </c>
      <c r="N10" s="266"/>
      <c r="O10" s="266"/>
      <c r="P10" s="266">
        <v>2466594</v>
      </c>
      <c r="Q10" s="266"/>
      <c r="R10" s="266"/>
      <c r="S10" s="267">
        <v>2496063</v>
      </c>
      <c r="T10" s="268"/>
      <c r="U10" s="268"/>
      <c r="V10" s="268"/>
      <c r="W10" s="268"/>
      <c r="X10" s="269"/>
      <c r="Y10" s="259">
        <v>2514871</v>
      </c>
      <c r="Z10" s="260"/>
      <c r="AA10" s="260"/>
      <c r="AB10" s="260"/>
      <c r="AC10" s="260"/>
      <c r="AD10" s="260"/>
    </row>
    <row r="11" spans="2:32" ht="25.5" customHeight="1">
      <c r="B11" s="257" t="s">
        <v>88</v>
      </c>
      <c r="C11" s="258"/>
      <c r="D11" s="42">
        <v>2507588</v>
      </c>
      <c r="E11" s="42" t="s">
        <v>56</v>
      </c>
      <c r="F11" s="42"/>
      <c r="G11" s="41">
        <v>2511539</v>
      </c>
      <c r="H11" s="41" t="s">
        <v>55</v>
      </c>
      <c r="I11" s="41"/>
      <c r="J11" s="41"/>
      <c r="K11" s="41" t="s">
        <v>55</v>
      </c>
      <c r="L11" s="41"/>
      <c r="M11" s="42">
        <v>2468808</v>
      </c>
      <c r="N11" s="42" t="s">
        <v>56</v>
      </c>
      <c r="O11" s="42"/>
      <c r="P11" s="42">
        <v>2466594</v>
      </c>
      <c r="Q11" s="42" t="s">
        <v>56</v>
      </c>
      <c r="R11" s="42"/>
      <c r="S11" s="41" t="s">
        <v>87</v>
      </c>
      <c r="T11" s="41" t="s">
        <v>91</v>
      </c>
      <c r="U11" s="41"/>
      <c r="V11" s="56" t="s">
        <v>87</v>
      </c>
      <c r="W11" s="56" t="s">
        <v>92</v>
      </c>
      <c r="X11" s="41"/>
      <c r="Y11" s="60" t="s">
        <v>102</v>
      </c>
      <c r="Z11" s="59" t="s">
        <v>100</v>
      </c>
      <c r="AA11" s="42"/>
      <c r="AB11" s="57" t="str">
        <f>Y11</f>
        <v>VenusII_NJH_floating -2779764</v>
      </c>
      <c r="AC11" s="55" t="str">
        <f>Z11</f>
        <v>VenusII_AD_2776645</v>
      </c>
      <c r="AD11" s="44"/>
    </row>
    <row r="12" spans="2:32" ht="21" customHeight="1">
      <c r="B12" s="256" t="s">
        <v>3</v>
      </c>
      <c r="C12" s="256"/>
      <c r="D12" s="32" t="s">
        <v>42</v>
      </c>
      <c r="E12" s="43"/>
      <c r="F12" s="43" t="str">
        <f>CONCATENATE("Delta based on ",E11:E12)</f>
        <v xml:space="preserve">Delta based on </v>
      </c>
      <c r="G12" s="35" t="s">
        <v>43</v>
      </c>
      <c r="H12" s="38"/>
      <c r="I12" s="35" t="str">
        <f>CONCATENATE("Delta based on ",H11:H12)</f>
        <v xml:space="preserve">Delta based on </v>
      </c>
      <c r="J12" s="38" t="s">
        <v>44</v>
      </c>
      <c r="K12" s="38"/>
      <c r="L12" s="38" t="str">
        <f>CONCATENATE("Delta based on ",K11:K12)</f>
        <v xml:space="preserve">Delta based on </v>
      </c>
      <c r="M12" s="32" t="s">
        <v>40</v>
      </c>
      <c r="N12" s="43"/>
      <c r="O12" s="43" t="str">
        <f>CONCATENATE("Delta based on ",N11:N12)</f>
        <v xml:space="preserve">Delta based on </v>
      </c>
      <c r="P12" s="32" t="s">
        <v>39</v>
      </c>
      <c r="Q12" s="43"/>
      <c r="R12" s="43" t="str">
        <f>CONCATENATE("Delta based on ",Q11:Q12)</f>
        <v xml:space="preserve">Delta based on </v>
      </c>
      <c r="S12" s="35"/>
      <c r="T12" s="38" t="s">
        <v>84</v>
      </c>
      <c r="U12" s="38" t="str">
        <f>CONCATENATE("Delta based on ",T11:T12)</f>
        <v>Delta based on A0013DHR</v>
      </c>
      <c r="V12" s="35"/>
      <c r="W12" s="38" t="s">
        <v>85</v>
      </c>
      <c r="X12" s="38" t="str">
        <f>CONCATENATE("Delta based on ",W11:W12)</f>
        <v>Delta based on A0013DHS</v>
      </c>
      <c r="Y12" s="39" t="s">
        <v>101</v>
      </c>
      <c r="Z12" s="43" t="s">
        <v>98</v>
      </c>
      <c r="AA12" s="39" t="str">
        <f>CONCATENATE("Delta based on ",Z11:Z12)</f>
        <v>Delta based on A0026DHR</v>
      </c>
      <c r="AB12" s="43" t="str">
        <f>CONCATENATE(LEFT(Y12,5),"DHS")</f>
        <v>N0025DHS</v>
      </c>
      <c r="AC12" s="58" t="s">
        <v>99</v>
      </c>
      <c r="AD12" s="43" t="str">
        <f>CONCATENATE("Delta based on ",AC11:AC12)</f>
        <v>Delta based on A0026DHS</v>
      </c>
    </row>
    <row r="13" spans="2:32" ht="18" customHeight="1">
      <c r="B13" s="252" t="s">
        <v>67</v>
      </c>
      <c r="C13" s="19" t="s">
        <v>45</v>
      </c>
      <c r="D13" s="33">
        <f>'1Z_Raw'!H6</f>
        <v>549.35199999999998</v>
      </c>
      <c r="E13" s="33"/>
      <c r="F13" s="34" t="e">
        <f>((D13-E13)/E13)*100</f>
        <v>#DIV/0!</v>
      </c>
      <c r="G13" s="36">
        <f>'1Z_Raw'!H18</f>
        <v>536.01300000000003</v>
      </c>
      <c r="H13" s="36"/>
      <c r="I13" s="37" t="e">
        <f>((G13-H13)/H13)*100</f>
        <v>#DIV/0!</v>
      </c>
      <c r="J13" s="36">
        <f>'1Z_Raw'!H30</f>
        <v>526.32799999999997</v>
      </c>
      <c r="K13" s="36"/>
      <c r="L13" s="37" t="e">
        <f>((J13-K13)/K13)*100</f>
        <v>#DIV/0!</v>
      </c>
      <c r="M13" s="33">
        <f>'1Z_Raw'!H42</f>
        <v>547.34500000000003</v>
      </c>
      <c r="N13" s="33"/>
      <c r="O13" s="34" t="e">
        <f>((M13-N13)/N13)*100</f>
        <v>#DIV/0!</v>
      </c>
      <c r="P13" s="33">
        <f>'1Z_Raw'!H54</f>
        <v>547.13099999999997</v>
      </c>
      <c r="Q13" s="33"/>
      <c r="R13" s="34" t="e">
        <f>((P13-Q13)/Q13)*100</f>
        <v>#DIV/0!</v>
      </c>
      <c r="S13" s="36">
        <f>'1Z_Raw'!H66</f>
        <v>0</v>
      </c>
      <c r="T13" s="36">
        <f>'1Z_Reference'!H66</f>
        <v>538.07600000000002</v>
      </c>
      <c r="U13" s="37">
        <f>((S13-T13)/T13)*100</f>
        <v>-100</v>
      </c>
      <c r="V13" s="36">
        <f>'1Z_Raw'!H78</f>
        <v>0</v>
      </c>
      <c r="W13" s="36">
        <f>'1Z_Reference'!H78</f>
        <v>519.09699999999998</v>
      </c>
      <c r="X13" s="37">
        <f>((V13-W13)/W13)*100</f>
        <v>-100</v>
      </c>
      <c r="Y13" s="33">
        <f>'1Z_Raw'!H90</f>
        <v>555.58299999999997</v>
      </c>
      <c r="Z13" s="33">
        <f>'1Z_Reference'!H90</f>
        <v>556.30499999999995</v>
      </c>
      <c r="AA13" s="34">
        <f>((Y13-Z13)/Z13)*100</f>
        <v>-0.12978492014272389</v>
      </c>
      <c r="AB13" s="33">
        <f>'1Z_Raw'!H102</f>
        <v>528.15300000000002</v>
      </c>
      <c r="AC13" s="33">
        <f>'1Z_Reference'!H102</f>
        <v>535.82600000000002</v>
      </c>
      <c r="AD13" s="34">
        <f>((AB13-AC13)/AC13)*100</f>
        <v>-1.4319947147021612</v>
      </c>
      <c r="AE13" s="61"/>
      <c r="AF13" s="61"/>
    </row>
    <row r="14" spans="2:32" ht="18" customHeight="1">
      <c r="B14" s="253"/>
      <c r="C14" s="21" t="s">
        <v>46</v>
      </c>
      <c r="D14" s="33">
        <f>'1Z_Raw'!H7</f>
        <v>523.851</v>
      </c>
      <c r="E14" s="33"/>
      <c r="F14" s="34" t="e">
        <f t="shared" ref="F14:F20" si="0">((D14-E14)/E14)*100</f>
        <v>#DIV/0!</v>
      </c>
      <c r="G14" s="36">
        <f>'1Z_Raw'!H19</f>
        <v>526.39400000000001</v>
      </c>
      <c r="H14" s="36"/>
      <c r="I14" s="37" t="e">
        <f t="shared" ref="I14:I20" si="1">((G14-H14)/H14)*100</f>
        <v>#DIV/0!</v>
      </c>
      <c r="J14" s="36">
        <f>'1Z_Raw'!H31</f>
        <v>526.26099999999997</v>
      </c>
      <c r="K14" s="36"/>
      <c r="L14" s="37" t="e">
        <f t="shared" ref="L14:L20" si="2">((J14-K14)/K14)*100</f>
        <v>#DIV/0!</v>
      </c>
      <c r="M14" s="33">
        <f>'1Z_Raw'!H43</f>
        <v>522.63300000000004</v>
      </c>
      <c r="N14" s="33"/>
      <c r="O14" s="34" t="e">
        <f t="shared" ref="O14:O20" si="3">((M14-N14)/N14)*100</f>
        <v>#DIV/0!</v>
      </c>
      <c r="P14" s="33">
        <f>'1Z_Raw'!H55</f>
        <v>527.05499999999995</v>
      </c>
      <c r="Q14" s="33"/>
      <c r="R14" s="34" t="e">
        <f t="shared" ref="R14:R20" si="4">((P14-Q14)/Q14)*100</f>
        <v>#DIV/0!</v>
      </c>
      <c r="S14" s="36">
        <f>'1Z_Raw'!H67</f>
        <v>0</v>
      </c>
      <c r="T14" s="36">
        <f>'1Z_Reference'!H67</f>
        <v>517.21900000000005</v>
      </c>
      <c r="U14" s="37">
        <f t="shared" ref="U14:U20" si="5">((S14-T14)/T14)*100</f>
        <v>-100</v>
      </c>
      <c r="V14" s="36">
        <f>'1Z_Raw'!H79</f>
        <v>0</v>
      </c>
      <c r="W14" s="36">
        <f>'1Z_Reference'!H79</f>
        <v>524.81299999999999</v>
      </c>
      <c r="X14" s="37">
        <f t="shared" ref="X14:X20" si="6">((V14-W14)/W14)*100</f>
        <v>-100</v>
      </c>
      <c r="Y14" s="33">
        <f>'1Z_Raw'!H91</f>
        <v>530.87699999999995</v>
      </c>
      <c r="Z14" s="33">
        <f>'1Z_Reference'!H91</f>
        <v>531.21900000000005</v>
      </c>
      <c r="AA14" s="34">
        <f>((Y14-Z14)/Z14)*100</f>
        <v>-6.4380227363874068E-2</v>
      </c>
      <c r="AB14" s="33">
        <f>'1Z_Raw'!H103</f>
        <v>532.452</v>
      </c>
      <c r="AC14" s="33">
        <f>'1Z_Reference'!H103</f>
        <v>531.79700000000003</v>
      </c>
      <c r="AD14" s="34">
        <f t="shared" ref="AD14:AD20" si="7">((AB14-AC14)/AC14)*100</f>
        <v>0.12316729880010092</v>
      </c>
    </row>
    <row r="15" spans="2:32" ht="18" customHeight="1">
      <c r="B15" s="253"/>
      <c r="C15" s="19" t="s">
        <v>64</v>
      </c>
      <c r="D15" s="33">
        <f>'1Z_Raw'!H8</f>
        <v>419.36099999999999</v>
      </c>
      <c r="E15" s="33"/>
      <c r="F15" s="34" t="e">
        <f t="shared" si="0"/>
        <v>#DIV/0!</v>
      </c>
      <c r="G15" s="36">
        <f>'1Z_Raw'!H20</f>
        <v>381.459</v>
      </c>
      <c r="H15" s="36"/>
      <c r="I15" s="37" t="e">
        <f t="shared" si="1"/>
        <v>#DIV/0!</v>
      </c>
      <c r="J15" s="36">
        <f>'1Z_Raw'!H32</f>
        <v>398.32600000000002</v>
      </c>
      <c r="K15" s="36"/>
      <c r="L15" s="37" t="e">
        <f t="shared" si="2"/>
        <v>#DIV/0!</v>
      </c>
      <c r="M15" s="33">
        <f>'1Z_Raw'!H44</f>
        <v>417.12700000000001</v>
      </c>
      <c r="N15" s="33"/>
      <c r="O15" s="34" t="e">
        <f t="shared" si="3"/>
        <v>#DIV/0!</v>
      </c>
      <c r="P15" s="33">
        <f>'1Z_Raw'!H56</f>
        <v>384.863</v>
      </c>
      <c r="Q15" s="33"/>
      <c r="R15" s="34" t="e">
        <f t="shared" si="4"/>
        <v>#DIV/0!</v>
      </c>
      <c r="S15" s="36">
        <f>'1Z_Raw'!H68</f>
        <v>0</v>
      </c>
      <c r="T15" s="36">
        <f>'1Z_Reference'!H68</f>
        <v>378.73</v>
      </c>
      <c r="U15" s="37">
        <f t="shared" si="5"/>
        <v>-100</v>
      </c>
      <c r="V15" s="36">
        <f>'1Z_Raw'!H80</f>
        <v>0</v>
      </c>
      <c r="W15" s="36">
        <f>'1Z_Reference'!H80</f>
        <v>374.36700000000002</v>
      </c>
      <c r="X15" s="37">
        <f t="shared" si="6"/>
        <v>-100</v>
      </c>
      <c r="Y15" s="33">
        <f>'1Z_Raw'!H92</f>
        <v>93680.9</v>
      </c>
      <c r="Z15" s="33">
        <f>'1Z_Reference'!H92</f>
        <v>93746.6</v>
      </c>
      <c r="AA15" s="34">
        <f t="shared" ref="AA15:AA20" si="8">((Y15-Z15)/Z15)*100</f>
        <v>-7.0082541660189956E-2</v>
      </c>
      <c r="AB15" s="33">
        <f>'1Z_Raw'!H104</f>
        <v>89440.9</v>
      </c>
      <c r="AC15" s="33">
        <f>'1Z_Reference'!H104</f>
        <v>89386.2</v>
      </c>
      <c r="AD15" s="34">
        <f t="shared" si="7"/>
        <v>6.1195128554516351E-2</v>
      </c>
    </row>
    <row r="16" spans="2:32" ht="18" customHeight="1">
      <c r="B16" s="253"/>
      <c r="C16" s="18" t="s">
        <v>63</v>
      </c>
      <c r="D16" s="33">
        <f>'1Z_Raw'!H9</f>
        <v>516.17899999999997</v>
      </c>
      <c r="E16" s="33"/>
      <c r="F16" s="34" t="e">
        <f t="shared" si="0"/>
        <v>#DIV/0!</v>
      </c>
      <c r="G16" s="36">
        <f>'1Z_Raw'!H21</f>
        <v>511.88099999999997</v>
      </c>
      <c r="H16" s="36"/>
      <c r="I16" s="37" t="e">
        <f t="shared" si="1"/>
        <v>#DIV/0!</v>
      </c>
      <c r="J16" s="36">
        <f>'1Z_Raw'!H33</f>
        <v>519.06299999999999</v>
      </c>
      <c r="K16" s="36"/>
      <c r="L16" s="37" t="e">
        <f t="shared" si="2"/>
        <v>#DIV/0!</v>
      </c>
      <c r="M16" s="33">
        <f>'1Z_Raw'!H45</f>
        <v>514.86300000000006</v>
      </c>
      <c r="N16" s="33"/>
      <c r="O16" s="34" t="e">
        <f t="shared" si="3"/>
        <v>#DIV/0!</v>
      </c>
      <c r="P16" s="33">
        <f>'1Z_Raw'!H57</f>
        <v>519.66700000000003</v>
      </c>
      <c r="Q16" s="33"/>
      <c r="R16" s="34" t="e">
        <f t="shared" si="4"/>
        <v>#DIV/0!</v>
      </c>
      <c r="S16" s="36">
        <f>'1Z_Raw'!H69</f>
        <v>0</v>
      </c>
      <c r="T16" s="36">
        <f>'1Z_Reference'!H69</f>
        <v>503.637</v>
      </c>
      <c r="U16" s="37">
        <f t="shared" si="5"/>
        <v>-100</v>
      </c>
      <c r="V16" s="36">
        <f>'1Z_Raw'!H81</f>
        <v>0</v>
      </c>
      <c r="W16" s="36">
        <f>'1Z_Reference'!H81</f>
        <v>508.69600000000003</v>
      </c>
      <c r="X16" s="37">
        <f t="shared" si="6"/>
        <v>-100</v>
      </c>
      <c r="Y16" s="33">
        <f>'1Z_Raw'!H93</f>
        <v>82738.5</v>
      </c>
      <c r="Z16" s="33">
        <f>'1Z_Reference'!H93</f>
        <v>82622.3</v>
      </c>
      <c r="AA16" s="34">
        <f t="shared" si="8"/>
        <v>0.14063999670790706</v>
      </c>
      <c r="AB16" s="33">
        <f>'1Z_Raw'!H105</f>
        <v>79530</v>
      </c>
      <c r="AC16" s="33">
        <f>'1Z_Reference'!H105</f>
        <v>79911.899999999994</v>
      </c>
      <c r="AD16" s="34">
        <f t="shared" si="7"/>
        <v>-0.47790128879427751</v>
      </c>
    </row>
    <row r="17" spans="2:30" ht="15" hidden="1" customHeight="1">
      <c r="B17" s="253"/>
      <c r="C17" s="19" t="s">
        <v>49</v>
      </c>
      <c r="D17" s="33">
        <f>'1Z_Raw'!H10</f>
        <v>10228.1</v>
      </c>
      <c r="E17" s="33"/>
      <c r="F17" s="34" t="e">
        <f t="shared" si="0"/>
        <v>#DIV/0!</v>
      </c>
      <c r="G17" s="36">
        <f>'1Z_Raw'!H22</f>
        <v>9935.1</v>
      </c>
      <c r="H17" s="36"/>
      <c r="I17" s="37" t="e">
        <f t="shared" si="1"/>
        <v>#DIV/0!</v>
      </c>
      <c r="J17" s="36">
        <f>'1Z_Raw'!H34</f>
        <v>10068.299999999999</v>
      </c>
      <c r="K17" s="36"/>
      <c r="L17" s="37" t="e">
        <f t="shared" si="2"/>
        <v>#DIV/0!</v>
      </c>
      <c r="M17" s="33">
        <f>'1Z_Raw'!H46</f>
        <v>10138.4</v>
      </c>
      <c r="N17" s="33"/>
      <c r="O17" s="34" t="e">
        <f t="shared" si="3"/>
        <v>#DIV/0!</v>
      </c>
      <c r="P17" s="33">
        <f>'1Z_Raw'!H58</f>
        <v>10093.5</v>
      </c>
      <c r="Q17" s="33"/>
      <c r="R17" s="34" t="e">
        <f t="shared" si="4"/>
        <v>#DIV/0!</v>
      </c>
      <c r="S17" s="36">
        <f>'1Z_Raw'!H70</f>
        <v>0</v>
      </c>
      <c r="T17" s="36">
        <f>'1Z_Reference'!H70</f>
        <v>9931.7999999999993</v>
      </c>
      <c r="U17" s="37">
        <f t="shared" si="5"/>
        <v>-100</v>
      </c>
      <c r="V17" s="36">
        <f>'1Z_Raw'!H82</f>
        <v>0</v>
      </c>
      <c r="W17" s="36"/>
      <c r="X17" s="37" t="e">
        <f t="shared" si="6"/>
        <v>#DIV/0!</v>
      </c>
      <c r="Y17" s="33">
        <f>'1Z_Raw'!H94</f>
        <v>523.06100000000004</v>
      </c>
      <c r="Z17" s="33">
        <f>'1Z_Reference'!H94</f>
        <v>515.78300000000002</v>
      </c>
      <c r="AA17" s="34">
        <f t="shared" si="8"/>
        <v>1.4110585265508984</v>
      </c>
      <c r="AB17" s="33">
        <f>'1Z_Raw'!H106</f>
        <v>489.29500000000002</v>
      </c>
      <c r="AC17" s="33">
        <f>'1Z_Reference'!H106</f>
        <v>495.81</v>
      </c>
      <c r="AD17" s="34">
        <f t="shared" si="7"/>
        <v>-1.3140114156632554</v>
      </c>
    </row>
    <row r="18" spans="2:30" ht="15" hidden="1" customHeight="1">
      <c r="B18" s="253"/>
      <c r="C18" s="18" t="s">
        <v>50</v>
      </c>
      <c r="D18" s="33">
        <f>'1Z_Raw'!H11</f>
        <v>31305.5</v>
      </c>
      <c r="E18" s="33"/>
      <c r="F18" s="34" t="e">
        <f t="shared" si="0"/>
        <v>#DIV/0!</v>
      </c>
      <c r="G18" s="36">
        <f>'1Z_Raw'!H23</f>
        <v>30933.3</v>
      </c>
      <c r="H18" s="36"/>
      <c r="I18" s="37" t="e">
        <f t="shared" si="1"/>
        <v>#DIV/0!</v>
      </c>
      <c r="J18" s="36">
        <f>'1Z_Raw'!H35</f>
        <v>30108.2</v>
      </c>
      <c r="K18" s="36"/>
      <c r="L18" s="37" t="e">
        <f t="shared" si="2"/>
        <v>#DIV/0!</v>
      </c>
      <c r="M18" s="33">
        <f>'1Z_Raw'!H47</f>
        <v>30879.1</v>
      </c>
      <c r="N18" s="33"/>
      <c r="O18" s="34" t="e">
        <f t="shared" si="3"/>
        <v>#DIV/0!</v>
      </c>
      <c r="P18" s="33">
        <f>'1Z_Raw'!H59</f>
        <v>30826.7</v>
      </c>
      <c r="Q18" s="33"/>
      <c r="R18" s="34" t="e">
        <f t="shared" si="4"/>
        <v>#DIV/0!</v>
      </c>
      <c r="S18" s="36">
        <f>'1Z_Raw'!H71</f>
        <v>0</v>
      </c>
      <c r="T18" s="36">
        <f>'1Z_Reference'!H71</f>
        <v>30725.1</v>
      </c>
      <c r="U18" s="37">
        <f t="shared" si="5"/>
        <v>-100</v>
      </c>
      <c r="V18" s="36">
        <f>'1Z_Raw'!H83</f>
        <v>0</v>
      </c>
      <c r="W18" s="36"/>
      <c r="X18" s="37" t="e">
        <f t="shared" si="6"/>
        <v>#DIV/0!</v>
      </c>
      <c r="Y18" s="33">
        <f>'1Z_Raw'!H95</f>
        <v>519.35299999999995</v>
      </c>
      <c r="Z18" s="33">
        <f>'1Z_Reference'!H95</f>
        <v>520.303</v>
      </c>
      <c r="AA18" s="34">
        <f t="shared" si="8"/>
        <v>-0.18258591628340515</v>
      </c>
      <c r="AB18" s="33">
        <f>'1Z_Raw'!H107</f>
        <v>516.56899999999996</v>
      </c>
      <c r="AC18" s="33">
        <f>'1Z_Reference'!H107</f>
        <v>520.53800000000001</v>
      </c>
      <c r="AD18" s="34">
        <f t="shared" si="7"/>
        <v>-0.76248035686156457</v>
      </c>
    </row>
    <row r="19" spans="2:30" ht="15" hidden="1" customHeight="1">
      <c r="B19" s="253"/>
      <c r="C19" s="19" t="s">
        <v>65</v>
      </c>
      <c r="D19" s="33">
        <f>'1Z_Raw'!H12</f>
        <v>100840</v>
      </c>
      <c r="E19" s="33"/>
      <c r="F19" s="34" t="e">
        <f t="shared" si="0"/>
        <v>#DIV/0!</v>
      </c>
      <c r="G19" s="36">
        <f>'1Z_Raw'!H24</f>
        <v>96311.3</v>
      </c>
      <c r="H19" s="36"/>
      <c r="I19" s="37" t="e">
        <f t="shared" si="1"/>
        <v>#DIV/0!</v>
      </c>
      <c r="J19" s="36">
        <f>'1Z_Raw'!H36</f>
        <v>92740.800000000003</v>
      </c>
      <c r="K19" s="36"/>
      <c r="L19" s="37" t="e">
        <f t="shared" si="2"/>
        <v>#DIV/0!</v>
      </c>
      <c r="M19" s="33">
        <f>'1Z_Raw'!H48</f>
        <v>97176.8</v>
      </c>
      <c r="N19" s="33"/>
      <c r="O19" s="34" t="e">
        <f t="shared" si="3"/>
        <v>#DIV/0!</v>
      </c>
      <c r="P19" s="33">
        <f>'1Z_Raw'!H60</f>
        <v>95283.3</v>
      </c>
      <c r="Q19" s="33"/>
      <c r="R19" s="34" t="e">
        <f t="shared" si="4"/>
        <v>#DIV/0!</v>
      </c>
      <c r="S19" s="36">
        <f>'1Z_Raw'!H72</f>
        <v>0</v>
      </c>
      <c r="T19" s="36">
        <f>'1Z_Reference'!H72</f>
        <v>93065.1</v>
      </c>
      <c r="U19" s="37">
        <f t="shared" si="5"/>
        <v>-100</v>
      </c>
      <c r="V19" s="36">
        <f>'1Z_Raw'!H84</f>
        <v>0</v>
      </c>
      <c r="W19" s="36"/>
      <c r="X19" s="37" t="e">
        <f t="shared" si="6"/>
        <v>#DIV/0!</v>
      </c>
      <c r="Y19" s="33">
        <f>'1Z_Raw'!H96</f>
        <v>10084</v>
      </c>
      <c r="Z19" s="33">
        <f>'1Z_Reference'!H96</f>
        <v>10101.799999999999</v>
      </c>
      <c r="AA19" s="34">
        <f t="shared" si="8"/>
        <v>-0.17620622067353614</v>
      </c>
      <c r="AB19" s="33">
        <f>'1Z_Raw'!H108</f>
        <v>9994.6</v>
      </c>
      <c r="AC19" s="33">
        <f>'1Z_Reference'!H108</f>
        <v>10050</v>
      </c>
      <c r="AD19" s="34">
        <f t="shared" si="7"/>
        <v>-0.55124378109452377</v>
      </c>
    </row>
    <row r="20" spans="2:30" ht="24" hidden="1">
      <c r="B20" s="254"/>
      <c r="C20" s="21" t="s">
        <v>66</v>
      </c>
      <c r="D20" s="33">
        <f>'1Z_Raw'!H13</f>
        <v>81558</v>
      </c>
      <c r="E20" s="33"/>
      <c r="F20" s="34" t="e">
        <f t="shared" si="0"/>
        <v>#DIV/0!</v>
      </c>
      <c r="G20" s="36">
        <f>'1Z_Raw'!H25</f>
        <v>73321.8</v>
      </c>
      <c r="H20" s="36"/>
      <c r="I20" s="37" t="e">
        <f t="shared" si="1"/>
        <v>#DIV/0!</v>
      </c>
      <c r="J20" s="36">
        <f>'1Z_Raw'!H37</f>
        <v>71022.5</v>
      </c>
      <c r="K20" s="36"/>
      <c r="L20" s="37" t="e">
        <f t="shared" si="2"/>
        <v>#DIV/0!</v>
      </c>
      <c r="M20" s="33">
        <f>'1Z_Raw'!H49</f>
        <v>75397.8</v>
      </c>
      <c r="N20" s="33"/>
      <c r="O20" s="34" t="e">
        <f t="shared" si="3"/>
        <v>#DIV/0!</v>
      </c>
      <c r="P20" s="33">
        <f>'1Z_Raw'!H61</f>
        <v>76001</v>
      </c>
      <c r="Q20" s="33"/>
      <c r="R20" s="34" t="e">
        <f t="shared" si="4"/>
        <v>#DIV/0!</v>
      </c>
      <c r="S20" s="36">
        <f>'1Z_Raw'!H73</f>
        <v>0</v>
      </c>
      <c r="T20" s="36">
        <f>'1Z_Reference'!H73</f>
        <v>72502.5</v>
      </c>
      <c r="U20" s="37">
        <f t="shared" si="5"/>
        <v>-100</v>
      </c>
      <c r="V20" s="36">
        <f>'1Z_Raw'!H85</f>
        <v>0</v>
      </c>
      <c r="W20" s="36"/>
      <c r="X20" s="37" t="e">
        <f t="shared" si="6"/>
        <v>#DIV/0!</v>
      </c>
      <c r="Y20" s="33">
        <f>'1Z_Raw'!H97</f>
        <v>33428.199999999997</v>
      </c>
      <c r="Z20" s="33">
        <f>'1Z_Reference'!H97</f>
        <v>33751.5</v>
      </c>
      <c r="AA20" s="34">
        <f t="shared" si="8"/>
        <v>-0.957883353332453</v>
      </c>
      <c r="AB20" s="33">
        <f>'1Z_Raw'!H109</f>
        <v>32625.200000000001</v>
      </c>
      <c r="AC20" s="33">
        <f>'1Z_Reference'!H109</f>
        <v>32587.4</v>
      </c>
      <c r="AD20" s="34">
        <f t="shared" si="7"/>
        <v>0.11599575295973066</v>
      </c>
    </row>
    <row r="24" spans="2:30">
      <c r="Y24" s="61"/>
      <c r="Z24" s="61"/>
    </row>
  </sheetData>
  <mergeCells count="37">
    <mergeCell ref="G9:I9"/>
    <mergeCell ref="J9:L9"/>
    <mergeCell ref="M9:O9"/>
    <mergeCell ref="S7:AD7"/>
    <mergeCell ref="S6:AD6"/>
    <mergeCell ref="S9:X9"/>
    <mergeCell ref="Y9:AD9"/>
    <mergeCell ref="M8:O8"/>
    <mergeCell ref="G8:L8"/>
    <mergeCell ref="Y10:AD10"/>
    <mergeCell ref="D5:AD5"/>
    <mergeCell ref="D4:AD4"/>
    <mergeCell ref="Y8:AD8"/>
    <mergeCell ref="P9:R9"/>
    <mergeCell ref="G10:L10"/>
    <mergeCell ref="M10:O10"/>
    <mergeCell ref="P10:R10"/>
    <mergeCell ref="S10:X10"/>
    <mergeCell ref="M7:R7"/>
    <mergeCell ref="G7:L7"/>
    <mergeCell ref="P8:R8"/>
    <mergeCell ref="S8:X8"/>
    <mergeCell ref="D9:F9"/>
    <mergeCell ref="D7:F7"/>
    <mergeCell ref="D10:F10"/>
    <mergeCell ref="D8:F8"/>
    <mergeCell ref="B2:C2"/>
    <mergeCell ref="B13:B20"/>
    <mergeCell ref="B4:C4"/>
    <mergeCell ref="B5:C5"/>
    <mergeCell ref="B8:C8"/>
    <mergeCell ref="B11:C11"/>
    <mergeCell ref="B12:C12"/>
    <mergeCell ref="B9:C9"/>
    <mergeCell ref="B7:C7"/>
    <mergeCell ref="B6:C6"/>
    <mergeCell ref="B10:C10"/>
  </mergeCells>
  <phoneticPr fontId="26" type="noConversion"/>
  <conditionalFormatting sqref="F13:F20 O13:O20 R13:R20 X13:X20 U13:U20 I13:I20 L13:L20">
    <cfRule type="cellIs" dxfId="37" priority="42" operator="greaterThanOrEqual">
      <formula>2.95</formula>
    </cfRule>
  </conditionalFormatting>
  <conditionalFormatting sqref="F13:F20 O13:O20 R13:R20 X13:X20 U13:U20 I13:I20 L13:L20">
    <cfRule type="cellIs" dxfId="36" priority="41" operator="lessThanOrEqual">
      <formula>-2.95</formula>
    </cfRule>
  </conditionalFormatting>
  <conditionalFormatting sqref="AA13:AA20">
    <cfRule type="cellIs" dxfId="35" priority="20" operator="greaterThanOrEqual">
      <formula>2.95</formula>
    </cfRule>
  </conditionalFormatting>
  <conditionalFormatting sqref="AA13:AA20">
    <cfRule type="cellIs" dxfId="34" priority="19" operator="lessThanOrEqual">
      <formula>-2.95</formula>
    </cfRule>
  </conditionalFormatting>
  <conditionalFormatting sqref="AD13:AD20">
    <cfRule type="cellIs" dxfId="33" priority="18" operator="greaterThanOrEqual">
      <formula>2.95</formula>
    </cfRule>
  </conditionalFormatting>
  <conditionalFormatting sqref="AD13:AD20">
    <cfRule type="cellIs" dxfId="32" priority="17" operator="lessThanOrEqual">
      <formula>-2.95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C1:J135"/>
  <sheetViews>
    <sheetView zoomScale="85" zoomScaleNormal="85" workbookViewId="0">
      <selection activeCell="V24" sqref="V24"/>
    </sheetView>
  </sheetViews>
  <sheetFormatPr defaultRowHeight="15"/>
  <cols>
    <col min="2" max="2" width="14.5703125" customWidth="1"/>
    <col min="3" max="3" width="31.7109375" customWidth="1"/>
    <col min="4" max="10" width="10.5703125" customWidth="1"/>
  </cols>
  <sheetData>
    <row r="1" spans="3:10" ht="23.25">
      <c r="C1" s="2" t="s">
        <v>0</v>
      </c>
    </row>
    <row r="2" spans="3:10" hidden="1"/>
    <row r="3" spans="3:10" hidden="1">
      <c r="C3" s="3" t="s">
        <v>60</v>
      </c>
      <c r="D3" s="281" t="s">
        <v>61</v>
      </c>
      <c r="E3" s="282"/>
      <c r="F3" s="282"/>
      <c r="G3" s="282"/>
      <c r="H3" s="282"/>
      <c r="I3" s="282"/>
      <c r="J3" s="283"/>
    </row>
    <row r="4" spans="3:10" hidden="1">
      <c r="C4" s="4" t="s">
        <v>4</v>
      </c>
      <c r="D4" s="278" t="str">
        <f>CONCATENATE('1Z_Performance'!D12,"_1GB")</f>
        <v>N0871DRP_1GB</v>
      </c>
      <c r="E4" s="279"/>
      <c r="F4" s="279"/>
      <c r="G4" s="279"/>
      <c r="H4" s="279"/>
      <c r="I4" s="279"/>
      <c r="J4" s="280"/>
    </row>
    <row r="5" spans="3:10" hidden="1">
      <c r="C5" s="4" t="s">
        <v>5</v>
      </c>
      <c r="D5" s="5" t="s">
        <v>6</v>
      </c>
      <c r="E5" s="5" t="s">
        <v>7</v>
      </c>
      <c r="F5" s="5" t="s">
        <v>8</v>
      </c>
      <c r="G5" s="5" t="s">
        <v>9</v>
      </c>
      <c r="H5" s="5" t="s">
        <v>10</v>
      </c>
      <c r="I5" s="5" t="s">
        <v>11</v>
      </c>
      <c r="J5" s="6" t="s">
        <v>12</v>
      </c>
    </row>
    <row r="6" spans="3:10" hidden="1">
      <c r="C6" s="27" t="s">
        <v>45</v>
      </c>
      <c r="D6" s="20">
        <v>548.49</v>
      </c>
      <c r="E6" s="20">
        <v>546.20399999999995</v>
      </c>
      <c r="F6" s="20">
        <v>549.35199999999998</v>
      </c>
      <c r="G6" s="9">
        <f t="shared" ref="G6:G13" si="0">AVERAGE(D6:F6)</f>
        <v>548.01533333333327</v>
      </c>
      <c r="H6" s="10">
        <f t="shared" ref="H6:H13" si="1">MAX(D6:F6)</f>
        <v>549.35199999999998</v>
      </c>
      <c r="I6" s="8">
        <f t="shared" ref="I6:I13" si="2">MIN(D6:F6)</f>
        <v>546.20399999999995</v>
      </c>
      <c r="J6" s="11">
        <f t="shared" ref="J6:J13" si="3">_xlfn.STDEV.P(D6:F6)</f>
        <v>1.3282713912785027</v>
      </c>
    </row>
    <row r="7" spans="3:10" hidden="1">
      <c r="C7" s="27" t="s">
        <v>46</v>
      </c>
      <c r="D7" s="20">
        <v>523.851</v>
      </c>
      <c r="E7" s="20">
        <v>523.50300000000004</v>
      </c>
      <c r="F7" s="20">
        <v>523.32899999999995</v>
      </c>
      <c r="G7" s="9">
        <f t="shared" si="0"/>
        <v>523.56100000000004</v>
      </c>
      <c r="H7" s="10">
        <f t="shared" si="1"/>
        <v>523.851</v>
      </c>
      <c r="I7" s="8">
        <f t="shared" si="2"/>
        <v>523.32899999999995</v>
      </c>
      <c r="J7" s="11">
        <f t="shared" si="3"/>
        <v>0.21701612843290188</v>
      </c>
    </row>
    <row r="8" spans="3:10" hidden="1">
      <c r="C8" s="27" t="s">
        <v>51</v>
      </c>
      <c r="D8" s="20">
        <v>416.71</v>
      </c>
      <c r="E8" s="20">
        <v>419.36099999999999</v>
      </c>
      <c r="F8" s="20">
        <v>419.36099999999999</v>
      </c>
      <c r="G8" s="9">
        <f t="shared" si="0"/>
        <v>418.47733333333326</v>
      </c>
      <c r="H8" s="10">
        <f t="shared" si="1"/>
        <v>419.36099999999999</v>
      </c>
      <c r="I8" s="8">
        <f t="shared" si="2"/>
        <v>416.71</v>
      </c>
      <c r="J8" s="11">
        <f t="shared" si="3"/>
        <v>1.2496933846170299</v>
      </c>
    </row>
    <row r="9" spans="3:10" hidden="1">
      <c r="C9" s="27" t="s">
        <v>52</v>
      </c>
      <c r="D9" s="20">
        <v>516.17899999999997</v>
      </c>
      <c r="E9" s="20">
        <v>516.17899999999997</v>
      </c>
      <c r="F9" s="20">
        <v>516.06600000000003</v>
      </c>
      <c r="G9" s="9">
        <f t="shared" si="0"/>
        <v>516.14133333333336</v>
      </c>
      <c r="H9" s="10">
        <f t="shared" si="1"/>
        <v>516.17899999999997</v>
      </c>
      <c r="I9" s="8">
        <f t="shared" si="2"/>
        <v>516.06600000000003</v>
      </c>
      <c r="J9" s="11">
        <f t="shared" si="3"/>
        <v>5.3268710849359573E-2</v>
      </c>
    </row>
    <row r="10" spans="3:10" hidden="1">
      <c r="C10" s="45" t="s">
        <v>49</v>
      </c>
      <c r="D10" s="20">
        <v>10218.4</v>
      </c>
      <c r="E10" s="20">
        <v>10228.1</v>
      </c>
      <c r="F10" s="20">
        <v>10224.700000000001</v>
      </c>
      <c r="G10" s="12">
        <f>AVERAGE(D10:F10)</f>
        <v>10223.733333333334</v>
      </c>
      <c r="H10" s="10">
        <f t="shared" si="1"/>
        <v>10228.1</v>
      </c>
      <c r="I10" s="8">
        <f t="shared" si="2"/>
        <v>10218.4</v>
      </c>
      <c r="J10" s="11">
        <f t="shared" si="3"/>
        <v>4.0185680147151563</v>
      </c>
    </row>
    <row r="11" spans="3:10" hidden="1">
      <c r="C11" s="27" t="s">
        <v>50</v>
      </c>
      <c r="D11" s="20">
        <v>31274.799999999999</v>
      </c>
      <c r="E11" s="20">
        <v>31305.5</v>
      </c>
      <c r="F11" s="20">
        <v>31258.5</v>
      </c>
      <c r="G11" s="12">
        <f t="shared" si="0"/>
        <v>31279.600000000002</v>
      </c>
      <c r="H11" s="10">
        <f t="shared" si="1"/>
        <v>31305.5</v>
      </c>
      <c r="I11" s="8">
        <f t="shared" si="2"/>
        <v>31258.5</v>
      </c>
      <c r="J11" s="11">
        <f t="shared" si="3"/>
        <v>19.485550201794894</v>
      </c>
    </row>
    <row r="12" spans="3:10" hidden="1">
      <c r="C12" s="27" t="s">
        <v>47</v>
      </c>
      <c r="D12" s="20">
        <v>100779.2</v>
      </c>
      <c r="E12" s="20">
        <v>100840</v>
      </c>
      <c r="F12" s="22">
        <v>100771.5</v>
      </c>
      <c r="G12" s="12">
        <f t="shared" si="0"/>
        <v>100796.90000000001</v>
      </c>
      <c r="H12" s="10">
        <f t="shared" si="1"/>
        <v>100840</v>
      </c>
      <c r="I12" s="8">
        <f t="shared" si="2"/>
        <v>100771.5</v>
      </c>
      <c r="J12" s="11">
        <f t="shared" si="3"/>
        <v>30.637993842069704</v>
      </c>
    </row>
    <row r="13" spans="3:10" ht="15.75" hidden="1" thickBot="1">
      <c r="C13" s="28" t="s">
        <v>48</v>
      </c>
      <c r="D13" s="14">
        <v>80162.5</v>
      </c>
      <c r="E13" s="14">
        <v>81558</v>
      </c>
      <c r="F13" s="14">
        <v>81176.5</v>
      </c>
      <c r="G13" s="15">
        <f t="shared" si="0"/>
        <v>80965.666666666672</v>
      </c>
      <c r="H13" s="16">
        <f t="shared" si="1"/>
        <v>81558</v>
      </c>
      <c r="I13" s="14">
        <f t="shared" si="2"/>
        <v>80162.5</v>
      </c>
      <c r="J13" s="11">
        <f t="shared" si="3"/>
        <v>588.89335952181432</v>
      </c>
    </row>
    <row r="14" spans="3:10" ht="15.75" hidden="1" thickBot="1"/>
    <row r="15" spans="3:10" hidden="1">
      <c r="C15" s="3" t="s">
        <v>60</v>
      </c>
      <c r="D15" s="281" t="s">
        <v>61</v>
      </c>
      <c r="E15" s="282"/>
      <c r="F15" s="282"/>
      <c r="G15" s="282"/>
      <c r="H15" s="282"/>
      <c r="I15" s="282"/>
      <c r="J15" s="283"/>
    </row>
    <row r="16" spans="3:10" hidden="1">
      <c r="C16" s="4" t="s">
        <v>4</v>
      </c>
      <c r="D16" s="278" t="str">
        <f>CONCATENATE('1Z_Performance'!G12,"_1GB")</f>
        <v>N0872DGP_1GB</v>
      </c>
      <c r="E16" s="279"/>
      <c r="F16" s="279"/>
      <c r="G16" s="279"/>
      <c r="H16" s="279"/>
      <c r="I16" s="279"/>
      <c r="J16" s="280"/>
    </row>
    <row r="17" spans="3:10" hidden="1">
      <c r="C17" s="4" t="s">
        <v>5</v>
      </c>
      <c r="D17" s="5" t="s">
        <v>6</v>
      </c>
      <c r="E17" s="5" t="s">
        <v>7</v>
      </c>
      <c r="F17" s="5" t="s">
        <v>8</v>
      </c>
      <c r="G17" s="5" t="s">
        <v>9</v>
      </c>
      <c r="H17" s="5" t="s">
        <v>10</v>
      </c>
      <c r="I17" s="5" t="s">
        <v>11</v>
      </c>
      <c r="J17" s="6" t="s">
        <v>12</v>
      </c>
    </row>
    <row r="18" spans="3:10" hidden="1">
      <c r="C18" s="7" t="s">
        <v>45</v>
      </c>
      <c r="D18" s="8">
        <v>531.39499999999998</v>
      </c>
      <c r="E18" s="8">
        <v>536.01300000000003</v>
      </c>
      <c r="F18" s="8">
        <v>534.23800000000006</v>
      </c>
      <c r="G18" s="9">
        <f t="shared" ref="G18:G25" si="4">AVERAGE(D18:F18)</f>
        <v>533.88199999999995</v>
      </c>
      <c r="H18" s="10">
        <f t="shared" ref="H18:H25" si="5">MAX(D18:F18)</f>
        <v>536.01300000000003</v>
      </c>
      <c r="I18" s="8">
        <f t="shared" ref="I18:I25" si="6">MIN(D18:F18)</f>
        <v>531.39499999999998</v>
      </c>
      <c r="J18" s="11">
        <f t="shared" ref="J18:J25" si="7">_xlfn.STDEV.P(D18:F18)</f>
        <v>1.9020222571428438</v>
      </c>
    </row>
    <row r="19" spans="3:10" hidden="1">
      <c r="C19" s="7" t="s">
        <v>46</v>
      </c>
      <c r="D19" s="8">
        <v>526.39400000000001</v>
      </c>
      <c r="E19" s="8">
        <v>524.46299999999997</v>
      </c>
      <c r="F19" s="8">
        <v>526.06299999999999</v>
      </c>
      <c r="G19" s="9">
        <f t="shared" si="4"/>
        <v>525.64</v>
      </c>
      <c r="H19" s="10">
        <f t="shared" si="5"/>
        <v>526.39400000000001</v>
      </c>
      <c r="I19" s="8">
        <f t="shared" si="6"/>
        <v>524.46299999999997</v>
      </c>
      <c r="J19" s="11">
        <f t="shared" si="7"/>
        <v>0.84316348750802361</v>
      </c>
    </row>
    <row r="20" spans="3:10" hidden="1">
      <c r="C20" s="7" t="s">
        <v>51</v>
      </c>
      <c r="D20" s="8">
        <v>381.459</v>
      </c>
      <c r="E20" s="8">
        <v>341.56700000000001</v>
      </c>
      <c r="F20" s="8">
        <v>377.85</v>
      </c>
      <c r="G20" s="9">
        <f t="shared" si="4"/>
        <v>366.95866666666672</v>
      </c>
      <c r="H20" s="10">
        <f t="shared" si="5"/>
        <v>381.459</v>
      </c>
      <c r="I20" s="8">
        <f t="shared" si="6"/>
        <v>341.56700000000001</v>
      </c>
      <c r="J20" s="11">
        <f t="shared" si="7"/>
        <v>18.01497103954252</v>
      </c>
    </row>
    <row r="21" spans="3:10" hidden="1">
      <c r="C21" s="7" t="s">
        <v>52</v>
      </c>
      <c r="D21" s="8">
        <v>505.464</v>
      </c>
      <c r="E21" s="8">
        <v>511.67</v>
      </c>
      <c r="F21" s="8">
        <v>511.88099999999997</v>
      </c>
      <c r="G21" s="9">
        <f t="shared" si="4"/>
        <v>509.67166666666662</v>
      </c>
      <c r="H21" s="10">
        <f t="shared" si="5"/>
        <v>511.88099999999997</v>
      </c>
      <c r="I21" s="8">
        <f t="shared" si="6"/>
        <v>505.464</v>
      </c>
      <c r="J21" s="11">
        <f t="shared" si="7"/>
        <v>2.9765163455885033</v>
      </c>
    </row>
    <row r="22" spans="3:10" hidden="1">
      <c r="C22" s="7" t="s">
        <v>49</v>
      </c>
      <c r="D22" s="8">
        <v>9935.1</v>
      </c>
      <c r="E22" s="8">
        <v>9933.4</v>
      </c>
      <c r="F22" s="8">
        <v>9930.1</v>
      </c>
      <c r="G22" s="12">
        <f t="shared" si="4"/>
        <v>9932.8666666666668</v>
      </c>
      <c r="H22" s="10">
        <f t="shared" si="5"/>
        <v>9935.1</v>
      </c>
      <c r="I22" s="8">
        <f t="shared" si="6"/>
        <v>9930.1</v>
      </c>
      <c r="J22" s="11">
        <f t="shared" si="7"/>
        <v>2.0757863302586399</v>
      </c>
    </row>
    <row r="23" spans="3:10" hidden="1">
      <c r="C23" s="7" t="s">
        <v>50</v>
      </c>
      <c r="D23" s="8">
        <v>30917</v>
      </c>
      <c r="E23" s="8">
        <v>30880</v>
      </c>
      <c r="F23" s="8">
        <v>30933.3</v>
      </c>
      <c r="G23" s="12">
        <f t="shared" si="4"/>
        <v>30910.100000000002</v>
      </c>
      <c r="H23" s="10">
        <f t="shared" si="5"/>
        <v>30933.3</v>
      </c>
      <c r="I23" s="8">
        <f t="shared" si="6"/>
        <v>30880</v>
      </c>
      <c r="J23" s="11">
        <f t="shared" si="7"/>
        <v>22.299925261458959</v>
      </c>
    </row>
    <row r="24" spans="3:10" hidden="1">
      <c r="C24" s="7" t="s">
        <v>47</v>
      </c>
      <c r="D24" s="8">
        <v>94399.8</v>
      </c>
      <c r="E24" s="23">
        <v>96311.3</v>
      </c>
      <c r="F24" s="8">
        <v>96244.2</v>
      </c>
      <c r="G24" s="12">
        <f t="shared" si="4"/>
        <v>95651.766666666663</v>
      </c>
      <c r="H24" s="10">
        <f t="shared" si="5"/>
        <v>96311.3</v>
      </c>
      <c r="I24" s="8">
        <f t="shared" si="6"/>
        <v>94399.8</v>
      </c>
      <c r="J24" s="11">
        <f t="shared" si="7"/>
        <v>885.69784288372671</v>
      </c>
    </row>
    <row r="25" spans="3:10" ht="15.75" hidden="1" thickBot="1">
      <c r="C25" s="13" t="s">
        <v>48</v>
      </c>
      <c r="D25" s="14">
        <v>73321.8</v>
      </c>
      <c r="E25" s="14">
        <v>72601.899999999994</v>
      </c>
      <c r="F25" s="14">
        <v>72102.7</v>
      </c>
      <c r="G25" s="15">
        <f t="shared" si="4"/>
        <v>72675.466666666674</v>
      </c>
      <c r="H25" s="16">
        <f t="shared" si="5"/>
        <v>73321.8</v>
      </c>
      <c r="I25" s="14">
        <f t="shared" si="6"/>
        <v>72102.7</v>
      </c>
      <c r="J25" s="17">
        <f t="shared" si="7"/>
        <v>500.40666351367821</v>
      </c>
    </row>
    <row r="26" spans="3:10" ht="15.75" hidden="1" thickBot="1"/>
    <row r="27" spans="3:10" hidden="1">
      <c r="C27" s="3" t="s">
        <v>60</v>
      </c>
      <c r="D27" s="281" t="s">
        <v>61</v>
      </c>
      <c r="E27" s="282"/>
      <c r="F27" s="282"/>
      <c r="G27" s="282"/>
      <c r="H27" s="282"/>
      <c r="I27" s="282"/>
      <c r="J27" s="283"/>
    </row>
    <row r="28" spans="3:10" hidden="1">
      <c r="C28" s="4" t="s">
        <v>4</v>
      </c>
      <c r="D28" s="278" t="str">
        <f>CONCATENATE('1Z_Performance'!J12,"_1GB")</f>
        <v>N0872DGS_1GB</v>
      </c>
      <c r="E28" s="279"/>
      <c r="F28" s="279"/>
      <c r="G28" s="279"/>
      <c r="H28" s="279"/>
      <c r="I28" s="279"/>
      <c r="J28" s="280"/>
    </row>
    <row r="29" spans="3:10" hidden="1">
      <c r="C29" s="4" t="s">
        <v>5</v>
      </c>
      <c r="D29" s="5" t="s">
        <v>6</v>
      </c>
      <c r="E29" s="5" t="s">
        <v>7</v>
      </c>
      <c r="F29" s="5" t="s">
        <v>8</v>
      </c>
      <c r="G29" s="5" t="s">
        <v>9</v>
      </c>
      <c r="H29" s="5" t="s">
        <v>10</v>
      </c>
      <c r="I29" s="5" t="s">
        <v>11</v>
      </c>
      <c r="J29" s="6" t="s">
        <v>12</v>
      </c>
    </row>
    <row r="30" spans="3:10" hidden="1">
      <c r="C30" s="7" t="s">
        <v>45</v>
      </c>
      <c r="D30" s="8">
        <v>526.12900000000002</v>
      </c>
      <c r="E30" s="8">
        <v>526.32799999999997</v>
      </c>
      <c r="F30" s="8">
        <v>525.99699999999996</v>
      </c>
      <c r="G30" s="9">
        <f t="shared" ref="G30:G37" si="8">AVERAGE(D30:F30)</f>
        <v>526.15133333333324</v>
      </c>
      <c r="H30" s="10">
        <f t="shared" ref="H30:H37" si="9">MAX(D30:F30)</f>
        <v>526.32799999999997</v>
      </c>
      <c r="I30" s="8">
        <f t="shared" ref="I30:I37" si="10">MIN(D30:F30)</f>
        <v>525.99699999999996</v>
      </c>
      <c r="J30" s="11">
        <f t="shared" ref="J30:J37" si="11">_xlfn.STDEV.P(D30:F30)</f>
        <v>0.13604982747345426</v>
      </c>
    </row>
    <row r="31" spans="3:10" hidden="1">
      <c r="C31" s="7" t="s">
        <v>46</v>
      </c>
      <c r="D31" s="8">
        <v>526.12900000000002</v>
      </c>
      <c r="E31" s="8">
        <v>526.12900000000002</v>
      </c>
      <c r="F31" s="8">
        <v>526.26099999999997</v>
      </c>
      <c r="G31" s="9">
        <f t="shared" si="8"/>
        <v>526.173</v>
      </c>
      <c r="H31" s="10">
        <f t="shared" si="9"/>
        <v>526.26099999999997</v>
      </c>
      <c r="I31" s="8">
        <f t="shared" si="10"/>
        <v>526.12900000000002</v>
      </c>
      <c r="J31" s="11">
        <f t="shared" si="11"/>
        <v>6.2225396744391745E-2</v>
      </c>
    </row>
    <row r="32" spans="3:10" hidden="1">
      <c r="C32" s="7" t="s">
        <v>51</v>
      </c>
      <c r="D32" s="8">
        <v>398.32600000000002</v>
      </c>
      <c r="E32" s="8">
        <v>384.03</v>
      </c>
      <c r="F32" s="8">
        <v>366.02600000000001</v>
      </c>
      <c r="G32" s="9">
        <f t="shared" si="8"/>
        <v>382.79400000000004</v>
      </c>
      <c r="H32" s="10">
        <f t="shared" si="9"/>
        <v>398.32600000000002</v>
      </c>
      <c r="I32" s="8">
        <f t="shared" si="10"/>
        <v>366.02600000000001</v>
      </c>
      <c r="J32" s="11">
        <f t="shared" si="11"/>
        <v>13.21535147722779</v>
      </c>
    </row>
    <row r="33" spans="3:10" hidden="1">
      <c r="C33" s="7" t="s">
        <v>52</v>
      </c>
      <c r="D33" s="8">
        <v>518.69899999999996</v>
      </c>
      <c r="E33" s="8">
        <v>518.69899999999996</v>
      </c>
      <c r="F33" s="8">
        <v>519.06299999999999</v>
      </c>
      <c r="G33" s="9">
        <f t="shared" si="8"/>
        <v>518.82033333333322</v>
      </c>
      <c r="H33" s="10">
        <f t="shared" si="9"/>
        <v>519.06299999999999</v>
      </c>
      <c r="I33" s="8">
        <f t="shared" si="10"/>
        <v>518.69899999999996</v>
      </c>
      <c r="J33" s="11">
        <f t="shared" si="11"/>
        <v>0.17159124556795097</v>
      </c>
    </row>
    <row r="34" spans="3:10" hidden="1">
      <c r="C34" s="7" t="s">
        <v>49</v>
      </c>
      <c r="D34" s="8">
        <v>10064.9</v>
      </c>
      <c r="E34" s="8">
        <v>10064.9</v>
      </c>
      <c r="F34" s="8">
        <v>10068.299999999999</v>
      </c>
      <c r="G34" s="12">
        <f t="shared" si="8"/>
        <v>10066.033333333333</v>
      </c>
      <c r="H34" s="10">
        <f t="shared" si="9"/>
        <v>10068.299999999999</v>
      </c>
      <c r="I34" s="8">
        <f t="shared" si="10"/>
        <v>10064.9</v>
      </c>
      <c r="J34" s="11">
        <f t="shared" si="11"/>
        <v>1.6027753706893362</v>
      </c>
    </row>
    <row r="35" spans="3:10" hidden="1">
      <c r="C35" s="7" t="s">
        <v>50</v>
      </c>
      <c r="D35" s="8">
        <v>30058.3</v>
      </c>
      <c r="E35" s="8">
        <v>30036.7</v>
      </c>
      <c r="F35" s="8">
        <v>30108.2</v>
      </c>
      <c r="G35" s="12">
        <f t="shared" si="8"/>
        <v>30067.733333333334</v>
      </c>
      <c r="H35" s="10">
        <f t="shared" si="9"/>
        <v>30108.2</v>
      </c>
      <c r="I35" s="8">
        <f t="shared" si="10"/>
        <v>30036.7</v>
      </c>
      <c r="J35" s="11">
        <f t="shared" si="11"/>
        <v>29.942203585500597</v>
      </c>
    </row>
    <row r="36" spans="3:10" hidden="1">
      <c r="C36" s="7" t="s">
        <v>47</v>
      </c>
      <c r="D36" s="8">
        <v>91028.3</v>
      </c>
      <c r="E36" s="23">
        <v>92740.800000000003</v>
      </c>
      <c r="F36" s="8">
        <v>87615.4</v>
      </c>
      <c r="G36" s="12">
        <f t="shared" si="8"/>
        <v>90461.5</v>
      </c>
      <c r="H36" s="10">
        <f t="shared" si="9"/>
        <v>92740.800000000003</v>
      </c>
      <c r="I36" s="8">
        <f t="shared" si="10"/>
        <v>87615.4</v>
      </c>
      <c r="J36" s="11">
        <f t="shared" si="11"/>
        <v>2130.4738080217471</v>
      </c>
    </row>
    <row r="37" spans="3:10" ht="15.75" hidden="1" thickBot="1">
      <c r="C37" s="13" t="s">
        <v>48</v>
      </c>
      <c r="D37" s="14">
        <v>70248.600000000006</v>
      </c>
      <c r="E37" s="14">
        <v>71022.5</v>
      </c>
      <c r="F37" s="14">
        <v>70478.3</v>
      </c>
      <c r="G37" s="15">
        <f t="shared" si="8"/>
        <v>70583.133333333346</v>
      </c>
      <c r="H37" s="16">
        <f t="shared" si="9"/>
        <v>71022.5</v>
      </c>
      <c r="I37" s="14">
        <f t="shared" si="10"/>
        <v>70248.600000000006</v>
      </c>
      <c r="J37" s="17">
        <f t="shared" si="11"/>
        <v>324.52305858837525</v>
      </c>
    </row>
    <row r="38" spans="3:10" ht="15.75" hidden="1" thickBot="1"/>
    <row r="39" spans="3:10" hidden="1">
      <c r="C39" s="3" t="s">
        <v>60</v>
      </c>
      <c r="D39" s="281" t="s">
        <v>61</v>
      </c>
      <c r="E39" s="282"/>
      <c r="F39" s="282"/>
      <c r="G39" s="282"/>
      <c r="H39" s="282"/>
      <c r="I39" s="282"/>
      <c r="J39" s="283"/>
    </row>
    <row r="40" spans="3:10" hidden="1">
      <c r="C40" s="4" t="s">
        <v>4</v>
      </c>
      <c r="D40" s="278" t="str">
        <f>CONCATENATE('1Z_Performance'!M12,"_1GB")</f>
        <v>N0132DDP_1GB</v>
      </c>
      <c r="E40" s="279"/>
      <c r="F40" s="279"/>
      <c r="G40" s="279"/>
      <c r="H40" s="279"/>
      <c r="I40" s="279"/>
      <c r="J40" s="280"/>
    </row>
    <row r="41" spans="3:10" hidden="1">
      <c r="C41" s="4" t="s">
        <v>5</v>
      </c>
      <c r="D41" s="5" t="s">
        <v>6</v>
      </c>
      <c r="E41" s="5" t="s">
        <v>7</v>
      </c>
      <c r="F41" s="5" t="s">
        <v>8</v>
      </c>
      <c r="G41" s="5" t="s">
        <v>9</v>
      </c>
      <c r="H41" s="5" t="s">
        <v>10</v>
      </c>
      <c r="I41" s="5" t="s">
        <v>11</v>
      </c>
      <c r="J41" s="6" t="s">
        <v>12</v>
      </c>
    </row>
    <row r="42" spans="3:10" hidden="1">
      <c r="C42" s="27" t="s">
        <v>45</v>
      </c>
      <c r="D42" s="8">
        <v>544.07899999999995</v>
      </c>
      <c r="E42" s="8">
        <v>546.774</v>
      </c>
      <c r="F42" s="8">
        <v>547.34500000000003</v>
      </c>
      <c r="G42" s="9">
        <f t="shared" ref="G42:G49" si="12">AVERAGE(D42:F42)</f>
        <v>546.06600000000003</v>
      </c>
      <c r="H42" s="10">
        <f t="shared" ref="H42:H49" si="13">MAX(D42:F42)</f>
        <v>547.34500000000003</v>
      </c>
      <c r="I42" s="8">
        <f t="shared" ref="I42:I49" si="14">MIN(D42:F42)</f>
        <v>544.07899999999995</v>
      </c>
      <c r="J42" s="11">
        <f t="shared" ref="J42:J49" si="15">_xlfn.STDEV.P(D42:F42)</f>
        <v>1.4242277439604789</v>
      </c>
    </row>
    <row r="43" spans="3:10" hidden="1">
      <c r="C43" s="27" t="s">
        <v>46</v>
      </c>
      <c r="D43" s="8">
        <v>522.45899999999995</v>
      </c>
      <c r="E43" s="8">
        <v>522.63300000000004</v>
      </c>
      <c r="F43" s="8">
        <v>522.37300000000005</v>
      </c>
      <c r="G43" s="9">
        <f t="shared" si="12"/>
        <v>522.48833333333334</v>
      </c>
      <c r="H43" s="10">
        <f t="shared" si="13"/>
        <v>522.63300000000004</v>
      </c>
      <c r="I43" s="8">
        <f t="shared" si="14"/>
        <v>522.37300000000005</v>
      </c>
      <c r="J43" s="11">
        <f t="shared" si="15"/>
        <v>0.10815215619158958</v>
      </c>
    </row>
    <row r="44" spans="3:10" hidden="1">
      <c r="C44" s="27" t="s">
        <v>51</v>
      </c>
      <c r="D44" s="8">
        <v>398.81099999999998</v>
      </c>
      <c r="E44" s="8">
        <v>417.12700000000001</v>
      </c>
      <c r="F44" s="8">
        <v>379.61500000000001</v>
      </c>
      <c r="G44" s="9">
        <f t="shared" si="12"/>
        <v>398.51766666666663</v>
      </c>
      <c r="H44" s="10">
        <f t="shared" si="13"/>
        <v>417.12700000000001</v>
      </c>
      <c r="I44" s="8">
        <f t="shared" si="14"/>
        <v>379.61500000000001</v>
      </c>
      <c r="J44" s="11">
        <f t="shared" si="15"/>
        <v>15.315614457873448</v>
      </c>
    </row>
    <row r="45" spans="3:10" hidden="1">
      <c r="C45" s="27" t="s">
        <v>52</v>
      </c>
      <c r="D45" s="8">
        <v>514.86300000000006</v>
      </c>
      <c r="E45" s="8">
        <v>514.69200000000001</v>
      </c>
      <c r="F45" s="8">
        <v>514.60599999999999</v>
      </c>
      <c r="G45" s="9">
        <f t="shared" si="12"/>
        <v>514.72033333333331</v>
      </c>
      <c r="H45" s="10">
        <f t="shared" si="13"/>
        <v>514.86300000000006</v>
      </c>
      <c r="I45" s="8">
        <f t="shared" si="14"/>
        <v>514.60599999999999</v>
      </c>
      <c r="J45" s="11">
        <f t="shared" si="15"/>
        <v>0.10681552113602777</v>
      </c>
    </row>
    <row r="46" spans="3:10" hidden="1">
      <c r="C46" s="45" t="s">
        <v>49</v>
      </c>
      <c r="D46" s="8">
        <v>10131.299999999999</v>
      </c>
      <c r="E46" s="8">
        <v>10129.6</v>
      </c>
      <c r="F46" s="8">
        <v>10138.4</v>
      </c>
      <c r="G46" s="12">
        <f t="shared" si="12"/>
        <v>10133.1</v>
      </c>
      <c r="H46" s="10">
        <f t="shared" si="13"/>
        <v>10138.4</v>
      </c>
      <c r="I46" s="8">
        <f t="shared" si="14"/>
        <v>10129.6</v>
      </c>
      <c r="J46" s="11">
        <f t="shared" si="15"/>
        <v>3.8113864493994054</v>
      </c>
    </row>
    <row r="47" spans="3:10" hidden="1">
      <c r="C47" s="27" t="s">
        <v>50</v>
      </c>
      <c r="D47" s="8">
        <v>30822.5</v>
      </c>
      <c r="E47" s="8">
        <v>30830.799999999999</v>
      </c>
      <c r="F47" s="8">
        <v>30879.1</v>
      </c>
      <c r="G47" s="12">
        <f t="shared" si="12"/>
        <v>30844.133333333331</v>
      </c>
      <c r="H47" s="10">
        <f t="shared" si="13"/>
        <v>30879.1</v>
      </c>
      <c r="I47" s="8">
        <f t="shared" si="14"/>
        <v>30822.5</v>
      </c>
      <c r="J47" s="11">
        <f t="shared" si="15"/>
        <v>24.956272869872379</v>
      </c>
    </row>
    <row r="48" spans="3:10" hidden="1">
      <c r="C48" s="27" t="s">
        <v>47</v>
      </c>
      <c r="D48" s="23">
        <v>96982.5</v>
      </c>
      <c r="E48" s="8">
        <v>95341.3</v>
      </c>
      <c r="F48" s="8">
        <v>97176.8</v>
      </c>
      <c r="G48" s="12">
        <f t="shared" si="12"/>
        <v>96500.2</v>
      </c>
      <c r="H48" s="10">
        <f t="shared" si="13"/>
        <v>97176.8</v>
      </c>
      <c r="I48" s="8">
        <f t="shared" si="14"/>
        <v>95341.3</v>
      </c>
      <c r="J48" s="11">
        <f t="shared" si="15"/>
        <v>823.29623263237738</v>
      </c>
    </row>
    <row r="49" spans="3:10" ht="15.75" hidden="1" thickBot="1">
      <c r="C49" s="28" t="s">
        <v>48</v>
      </c>
      <c r="D49" s="14">
        <v>74489.3</v>
      </c>
      <c r="E49" s="14">
        <v>75397.8</v>
      </c>
      <c r="F49" s="14">
        <v>73948.399999999994</v>
      </c>
      <c r="G49" s="15">
        <f t="shared" si="12"/>
        <v>74611.833333333328</v>
      </c>
      <c r="H49" s="16">
        <f t="shared" si="13"/>
        <v>75397.8</v>
      </c>
      <c r="I49" s="14">
        <f t="shared" si="14"/>
        <v>73948.399999999994</v>
      </c>
      <c r="J49" s="17">
        <f t="shared" si="15"/>
        <v>598.02502920493168</v>
      </c>
    </row>
    <row r="50" spans="3:10" ht="15.75" hidden="1" thickBot="1"/>
    <row r="51" spans="3:10" hidden="1">
      <c r="C51" s="3" t="s">
        <v>60</v>
      </c>
      <c r="D51" s="281" t="s">
        <v>62</v>
      </c>
      <c r="E51" s="282"/>
      <c r="F51" s="282"/>
      <c r="G51" s="282"/>
      <c r="H51" s="282"/>
      <c r="I51" s="282"/>
      <c r="J51" s="283"/>
    </row>
    <row r="52" spans="3:10" hidden="1">
      <c r="C52" s="4" t="s">
        <v>4</v>
      </c>
      <c r="D52" s="278" t="str">
        <f>CONCATENATE('1Z_Performance'!P12,"_1GB")</f>
        <v>N0630LDP_1GB</v>
      </c>
      <c r="E52" s="279"/>
      <c r="F52" s="279"/>
      <c r="G52" s="279"/>
      <c r="H52" s="279"/>
      <c r="I52" s="279"/>
      <c r="J52" s="280"/>
    </row>
    <row r="53" spans="3:10" hidden="1">
      <c r="C53" s="4" t="s">
        <v>5</v>
      </c>
      <c r="D53" s="5" t="s">
        <v>6</v>
      </c>
      <c r="E53" s="5" t="s">
        <v>7</v>
      </c>
      <c r="F53" s="5" t="s">
        <v>8</v>
      </c>
      <c r="G53" s="5" t="s">
        <v>9</v>
      </c>
      <c r="H53" s="5" t="s">
        <v>10</v>
      </c>
      <c r="I53" s="5" t="s">
        <v>11</v>
      </c>
      <c r="J53" s="6" t="s">
        <v>12</v>
      </c>
    </row>
    <row r="54" spans="3:10" hidden="1">
      <c r="C54" s="27" t="s">
        <v>45</v>
      </c>
      <c r="D54" s="8">
        <v>545.14</v>
      </c>
      <c r="E54" s="8">
        <v>544.92700000000002</v>
      </c>
      <c r="F54" s="8">
        <v>547.13099999999997</v>
      </c>
      <c r="G54" s="9">
        <f t="shared" ref="G54:G61" si="16">AVERAGE(D54:F54)</f>
        <v>545.73266666666666</v>
      </c>
      <c r="H54" s="10">
        <f t="shared" ref="H54:H61" si="17">MAX(D54:F54)</f>
        <v>547.13099999999997</v>
      </c>
      <c r="I54" s="8">
        <f t="shared" ref="I54:I61" si="18">MIN(D54:F54)</f>
        <v>544.92700000000002</v>
      </c>
      <c r="J54" s="11">
        <f t="shared" ref="J54:J61" si="19">_xlfn.STDEV.P(D54:F54)</f>
        <v>0.99258730374487636</v>
      </c>
    </row>
    <row r="55" spans="3:10" hidden="1">
      <c r="C55" s="27" t="s">
        <v>46</v>
      </c>
      <c r="D55" s="8">
        <v>526.923</v>
      </c>
      <c r="E55" s="8">
        <v>527.05499999999995</v>
      </c>
      <c r="F55" s="8">
        <v>526.79</v>
      </c>
      <c r="G55" s="9">
        <f t="shared" si="16"/>
        <v>526.92266666666671</v>
      </c>
      <c r="H55" s="10">
        <f t="shared" si="17"/>
        <v>527.05499999999995</v>
      </c>
      <c r="I55" s="8">
        <f t="shared" si="18"/>
        <v>526.79</v>
      </c>
      <c r="J55" s="11">
        <f t="shared" si="19"/>
        <v>0.1081860537325446</v>
      </c>
    </row>
    <row r="56" spans="3:10" hidden="1">
      <c r="C56" s="27" t="s">
        <v>51</v>
      </c>
      <c r="D56" s="8">
        <v>381.90300000000002</v>
      </c>
      <c r="E56" s="8">
        <v>384.863</v>
      </c>
      <c r="F56" s="8">
        <v>382.92200000000003</v>
      </c>
      <c r="G56" s="9">
        <f t="shared" si="16"/>
        <v>383.22933333333339</v>
      </c>
      <c r="H56" s="10">
        <f t="shared" si="17"/>
        <v>384.863</v>
      </c>
      <c r="I56" s="8">
        <f t="shared" si="18"/>
        <v>381.90300000000002</v>
      </c>
      <c r="J56" s="11">
        <f t="shared" si="19"/>
        <v>1.2278002913973967</v>
      </c>
    </row>
    <row r="57" spans="3:10" hidden="1">
      <c r="C57" s="27" t="s">
        <v>52</v>
      </c>
      <c r="D57" s="8">
        <v>519.66700000000003</v>
      </c>
      <c r="E57" s="8">
        <v>519.49400000000003</v>
      </c>
      <c r="F57" s="8">
        <v>519.30499999999995</v>
      </c>
      <c r="G57" s="9">
        <f t="shared" si="16"/>
        <v>519.48866666666663</v>
      </c>
      <c r="H57" s="10">
        <f t="shared" si="17"/>
        <v>519.66700000000003</v>
      </c>
      <c r="I57" s="8">
        <f t="shared" si="18"/>
        <v>519.30499999999995</v>
      </c>
      <c r="J57" s="11">
        <f t="shared" si="19"/>
        <v>0.14783399097940461</v>
      </c>
    </row>
    <row r="58" spans="3:10" hidden="1">
      <c r="C58" s="45" t="s">
        <v>49</v>
      </c>
      <c r="D58" s="8">
        <v>10091.799999999999</v>
      </c>
      <c r="E58" s="8">
        <v>10093.5</v>
      </c>
      <c r="F58" s="8">
        <v>10089.9</v>
      </c>
      <c r="G58" s="12">
        <f t="shared" si="16"/>
        <v>10091.733333333332</v>
      </c>
      <c r="H58" s="10">
        <f t="shared" si="17"/>
        <v>10093.5</v>
      </c>
      <c r="I58" s="8">
        <f t="shared" si="18"/>
        <v>10089.9</v>
      </c>
      <c r="J58" s="11">
        <f t="shared" si="19"/>
        <v>1.4704496666743252</v>
      </c>
    </row>
    <row r="59" spans="3:10" hidden="1">
      <c r="C59" s="27" t="s">
        <v>50</v>
      </c>
      <c r="D59" s="8">
        <v>30778.5</v>
      </c>
      <c r="E59" s="8">
        <v>30777.4</v>
      </c>
      <c r="F59" s="8">
        <v>30826.7</v>
      </c>
      <c r="G59" s="12">
        <f t="shared" si="16"/>
        <v>30794.2</v>
      </c>
      <c r="H59" s="10">
        <f t="shared" si="17"/>
        <v>30826.7</v>
      </c>
      <c r="I59" s="8">
        <f t="shared" si="18"/>
        <v>30777.4</v>
      </c>
      <c r="J59" s="11">
        <f t="shared" si="19"/>
        <v>22.985357658010592</v>
      </c>
    </row>
    <row r="60" spans="3:10" hidden="1">
      <c r="C60" s="27" t="s">
        <v>47</v>
      </c>
      <c r="D60" s="23">
        <v>93467.1</v>
      </c>
      <c r="E60" s="8">
        <v>93267.1</v>
      </c>
      <c r="F60" s="8">
        <v>95283.3</v>
      </c>
      <c r="G60" s="12">
        <f t="shared" si="16"/>
        <v>94005.833333333328</v>
      </c>
      <c r="H60" s="10">
        <f t="shared" si="17"/>
        <v>95283.3</v>
      </c>
      <c r="I60" s="8">
        <f t="shared" si="18"/>
        <v>93267.1</v>
      </c>
      <c r="J60" s="11">
        <f t="shared" si="19"/>
        <v>906.98798718003229</v>
      </c>
    </row>
    <row r="61" spans="3:10" ht="15.75" hidden="1" thickBot="1">
      <c r="C61" s="28" t="s">
        <v>48</v>
      </c>
      <c r="D61" s="14">
        <v>76001</v>
      </c>
      <c r="E61" s="14">
        <v>75579.5</v>
      </c>
      <c r="F61" s="14">
        <v>75877.3</v>
      </c>
      <c r="G61" s="15">
        <f t="shared" si="16"/>
        <v>75819.266666666663</v>
      </c>
      <c r="H61" s="16">
        <f t="shared" si="17"/>
        <v>76001</v>
      </c>
      <c r="I61" s="14">
        <f t="shared" si="18"/>
        <v>75579.5</v>
      </c>
      <c r="J61" s="17">
        <f t="shared" si="19"/>
        <v>176.90197536740229</v>
      </c>
    </row>
    <row r="63" spans="3:10" hidden="1">
      <c r="C63" s="3" t="s">
        <v>60</v>
      </c>
      <c r="D63" s="281" t="s">
        <v>75</v>
      </c>
      <c r="E63" s="282"/>
      <c r="F63" s="282"/>
      <c r="G63" s="282"/>
      <c r="H63" s="282"/>
      <c r="I63" s="282"/>
      <c r="J63" s="283"/>
    </row>
    <row r="64" spans="3:10" hidden="1">
      <c r="C64" s="4" t="s">
        <v>4</v>
      </c>
      <c r="D64" s="278" t="str">
        <f>CONCATENATE('1Z_Performance'!S12,"_1GB")</f>
        <v>_1GB</v>
      </c>
      <c r="E64" s="279"/>
      <c r="F64" s="279"/>
      <c r="G64" s="279"/>
      <c r="H64" s="279"/>
      <c r="I64" s="279"/>
      <c r="J64" s="280"/>
    </row>
    <row r="65" spans="3:10" hidden="1">
      <c r="C65" s="4" t="s">
        <v>5</v>
      </c>
      <c r="D65" s="5" t="s">
        <v>6</v>
      </c>
      <c r="E65" s="5" t="s">
        <v>7</v>
      </c>
      <c r="F65" s="5" t="s">
        <v>8</v>
      </c>
      <c r="G65" s="5" t="s">
        <v>9</v>
      </c>
      <c r="H65" s="5" t="s">
        <v>10</v>
      </c>
      <c r="I65" s="5" t="s">
        <v>11</v>
      </c>
      <c r="J65" s="6" t="s">
        <v>12</v>
      </c>
    </row>
    <row r="66" spans="3:10" hidden="1">
      <c r="C66" s="7" t="s">
        <v>45</v>
      </c>
      <c r="D66" s="8"/>
      <c r="E66" s="8"/>
      <c r="F66" s="8"/>
      <c r="G66" s="9" t="e">
        <f t="shared" ref="G66:G73" si="20">AVERAGE(D66:F66)</f>
        <v>#DIV/0!</v>
      </c>
      <c r="H66" s="10">
        <f t="shared" ref="H66:H73" si="21">MAX(D66:F66)</f>
        <v>0</v>
      </c>
      <c r="I66" s="8">
        <f t="shared" ref="I66:I73" si="22">MIN(D66:F66)</f>
        <v>0</v>
      </c>
      <c r="J66" s="11" t="e">
        <f t="shared" ref="J66:J73" si="23">_xlfn.STDEV.P(D66:F66)</f>
        <v>#DIV/0!</v>
      </c>
    </row>
    <row r="67" spans="3:10" hidden="1">
      <c r="C67" s="7" t="s">
        <v>46</v>
      </c>
      <c r="D67" s="8"/>
      <c r="E67" s="8"/>
      <c r="F67" s="8"/>
      <c r="G67" s="9" t="e">
        <f t="shared" si="20"/>
        <v>#DIV/0!</v>
      </c>
      <c r="H67" s="10">
        <f t="shared" si="21"/>
        <v>0</v>
      </c>
      <c r="I67" s="8">
        <f t="shared" si="22"/>
        <v>0</v>
      </c>
      <c r="J67" s="11" t="e">
        <f t="shared" si="23"/>
        <v>#DIV/0!</v>
      </c>
    </row>
    <row r="68" spans="3:10" hidden="1">
      <c r="C68" s="7" t="s">
        <v>51</v>
      </c>
      <c r="D68" s="8"/>
      <c r="E68" s="8"/>
      <c r="F68" s="8"/>
      <c r="G68" s="9" t="e">
        <f t="shared" si="20"/>
        <v>#DIV/0!</v>
      </c>
      <c r="H68" s="10">
        <f t="shared" si="21"/>
        <v>0</v>
      </c>
      <c r="I68" s="8">
        <f t="shared" si="22"/>
        <v>0</v>
      </c>
      <c r="J68" s="11" t="e">
        <f t="shared" si="23"/>
        <v>#DIV/0!</v>
      </c>
    </row>
    <row r="69" spans="3:10" hidden="1">
      <c r="C69" s="7" t="s">
        <v>52</v>
      </c>
      <c r="D69" s="8"/>
      <c r="E69" s="8"/>
      <c r="F69" s="8"/>
      <c r="G69" s="9" t="e">
        <f t="shared" si="20"/>
        <v>#DIV/0!</v>
      </c>
      <c r="H69" s="10">
        <f t="shared" si="21"/>
        <v>0</v>
      </c>
      <c r="I69" s="8">
        <f t="shared" si="22"/>
        <v>0</v>
      </c>
      <c r="J69" s="11" t="e">
        <f t="shared" si="23"/>
        <v>#DIV/0!</v>
      </c>
    </row>
    <row r="70" spans="3:10" hidden="1">
      <c r="C70" s="7" t="s">
        <v>49</v>
      </c>
      <c r="D70" s="8"/>
      <c r="E70" s="8"/>
      <c r="F70" s="8"/>
      <c r="G70" s="12" t="e">
        <f t="shared" si="20"/>
        <v>#DIV/0!</v>
      </c>
      <c r="H70" s="10">
        <f t="shared" si="21"/>
        <v>0</v>
      </c>
      <c r="I70" s="8">
        <f t="shared" si="22"/>
        <v>0</v>
      </c>
      <c r="J70" s="11" t="e">
        <f t="shared" si="23"/>
        <v>#DIV/0!</v>
      </c>
    </row>
    <row r="71" spans="3:10" hidden="1">
      <c r="C71" s="7" t="s">
        <v>50</v>
      </c>
      <c r="D71" s="8"/>
      <c r="E71" s="8"/>
      <c r="F71" s="8"/>
      <c r="G71" s="12" t="e">
        <f t="shared" si="20"/>
        <v>#DIV/0!</v>
      </c>
      <c r="H71" s="10">
        <f t="shared" si="21"/>
        <v>0</v>
      </c>
      <c r="I71" s="8">
        <f t="shared" si="22"/>
        <v>0</v>
      </c>
      <c r="J71" s="11" t="e">
        <f t="shared" si="23"/>
        <v>#DIV/0!</v>
      </c>
    </row>
    <row r="72" spans="3:10" hidden="1">
      <c r="C72" s="7" t="s">
        <v>47</v>
      </c>
      <c r="D72" s="23"/>
      <c r="E72" s="8"/>
      <c r="F72" s="8"/>
      <c r="G72" s="12" t="e">
        <f t="shared" si="20"/>
        <v>#DIV/0!</v>
      </c>
      <c r="H72" s="10">
        <f t="shared" si="21"/>
        <v>0</v>
      </c>
      <c r="I72" s="8">
        <f t="shared" si="22"/>
        <v>0</v>
      </c>
      <c r="J72" s="11" t="e">
        <f t="shared" si="23"/>
        <v>#DIV/0!</v>
      </c>
    </row>
    <row r="73" spans="3:10" ht="15.75" hidden="1" thickBot="1">
      <c r="C73" s="13" t="s">
        <v>48</v>
      </c>
      <c r="D73" s="14"/>
      <c r="E73" s="14"/>
      <c r="F73" s="14"/>
      <c r="G73" s="15" t="e">
        <f t="shared" si="20"/>
        <v>#DIV/0!</v>
      </c>
      <c r="H73" s="16">
        <f t="shared" si="21"/>
        <v>0</v>
      </c>
      <c r="I73" s="14">
        <f t="shared" si="22"/>
        <v>0</v>
      </c>
      <c r="J73" s="17" t="e">
        <f t="shared" si="23"/>
        <v>#DIV/0!</v>
      </c>
    </row>
    <row r="74" spans="3:10" ht="15.75" hidden="1" thickBot="1"/>
    <row r="75" spans="3:10" hidden="1">
      <c r="C75" s="3" t="s">
        <v>60</v>
      </c>
      <c r="D75" s="281" t="s">
        <v>75</v>
      </c>
      <c r="E75" s="282"/>
      <c r="F75" s="282"/>
      <c r="G75" s="282"/>
      <c r="H75" s="282"/>
      <c r="I75" s="282"/>
      <c r="J75" s="283"/>
    </row>
    <row r="76" spans="3:10" hidden="1">
      <c r="C76" s="4" t="s">
        <v>4</v>
      </c>
      <c r="D76" s="278" t="str">
        <f>CONCATENATE('1Z_Performance'!V12,"_1GB")</f>
        <v>_1GB</v>
      </c>
      <c r="E76" s="279"/>
      <c r="F76" s="279"/>
      <c r="G76" s="279"/>
      <c r="H76" s="279"/>
      <c r="I76" s="279"/>
      <c r="J76" s="280"/>
    </row>
    <row r="77" spans="3:10" hidden="1">
      <c r="C77" s="4" t="s">
        <v>5</v>
      </c>
      <c r="D77" s="5" t="s">
        <v>6</v>
      </c>
      <c r="E77" s="5" t="s">
        <v>7</v>
      </c>
      <c r="F77" s="5" t="s">
        <v>8</v>
      </c>
      <c r="G77" s="5" t="s">
        <v>9</v>
      </c>
      <c r="H77" s="5" t="s">
        <v>10</v>
      </c>
      <c r="I77" s="5" t="s">
        <v>11</v>
      </c>
      <c r="J77" s="6" t="s">
        <v>12</v>
      </c>
    </row>
    <row r="78" spans="3:10" hidden="1">
      <c r="C78" s="7" t="s">
        <v>45</v>
      </c>
      <c r="D78" s="8"/>
      <c r="E78" s="8"/>
      <c r="F78" s="8"/>
      <c r="G78" s="9" t="e">
        <f t="shared" ref="G78:G85" si="24">AVERAGE(D78:F78)</f>
        <v>#DIV/0!</v>
      </c>
      <c r="H78" s="10">
        <f t="shared" ref="H78:H85" si="25">MAX(D78:F78)</f>
        <v>0</v>
      </c>
      <c r="I78" s="8">
        <f t="shared" ref="I78:I85" si="26">MIN(D78:F78)</f>
        <v>0</v>
      </c>
      <c r="J78" s="11" t="e">
        <f t="shared" ref="J78:J85" si="27">_xlfn.STDEV.P(D78:F78)</f>
        <v>#DIV/0!</v>
      </c>
    </row>
    <row r="79" spans="3:10" hidden="1">
      <c r="C79" s="7" t="s">
        <v>46</v>
      </c>
      <c r="D79" s="8"/>
      <c r="E79" s="8"/>
      <c r="F79" s="8"/>
      <c r="G79" s="9" t="e">
        <f t="shared" si="24"/>
        <v>#DIV/0!</v>
      </c>
      <c r="H79" s="10">
        <f t="shared" si="25"/>
        <v>0</v>
      </c>
      <c r="I79" s="8">
        <f t="shared" si="26"/>
        <v>0</v>
      </c>
      <c r="J79" s="11" t="e">
        <f t="shared" si="27"/>
        <v>#DIV/0!</v>
      </c>
    </row>
    <row r="80" spans="3:10" hidden="1">
      <c r="C80" s="7" t="s">
        <v>51</v>
      </c>
      <c r="D80" s="8"/>
      <c r="E80" s="8"/>
      <c r="F80" s="8"/>
      <c r="G80" s="9" t="e">
        <f t="shared" si="24"/>
        <v>#DIV/0!</v>
      </c>
      <c r="H80" s="10">
        <f t="shared" si="25"/>
        <v>0</v>
      </c>
      <c r="I80" s="8">
        <f t="shared" si="26"/>
        <v>0</v>
      </c>
      <c r="J80" s="11" t="e">
        <f t="shared" si="27"/>
        <v>#DIV/0!</v>
      </c>
    </row>
    <row r="81" spans="3:10" hidden="1">
      <c r="C81" s="7" t="s">
        <v>52</v>
      </c>
      <c r="D81" s="8"/>
      <c r="E81" s="8"/>
      <c r="F81" s="8"/>
      <c r="G81" s="9" t="e">
        <f t="shared" si="24"/>
        <v>#DIV/0!</v>
      </c>
      <c r="H81" s="10">
        <f t="shared" si="25"/>
        <v>0</v>
      </c>
      <c r="I81" s="8">
        <f t="shared" si="26"/>
        <v>0</v>
      </c>
      <c r="J81" s="11" t="e">
        <f t="shared" si="27"/>
        <v>#DIV/0!</v>
      </c>
    </row>
    <row r="82" spans="3:10" hidden="1">
      <c r="C82" s="7" t="s">
        <v>49</v>
      </c>
      <c r="D82" s="8"/>
      <c r="E82" s="8"/>
      <c r="F82" s="8"/>
      <c r="G82" s="12" t="e">
        <f t="shared" si="24"/>
        <v>#DIV/0!</v>
      </c>
      <c r="H82" s="10">
        <f t="shared" si="25"/>
        <v>0</v>
      </c>
      <c r="I82" s="8">
        <f t="shared" si="26"/>
        <v>0</v>
      </c>
      <c r="J82" s="11" t="e">
        <f t="shared" si="27"/>
        <v>#DIV/0!</v>
      </c>
    </row>
    <row r="83" spans="3:10" hidden="1">
      <c r="C83" s="7" t="s">
        <v>50</v>
      </c>
      <c r="D83" s="8"/>
      <c r="E83" s="8"/>
      <c r="F83" s="8"/>
      <c r="G83" s="12" t="e">
        <f t="shared" si="24"/>
        <v>#DIV/0!</v>
      </c>
      <c r="H83" s="10">
        <f t="shared" si="25"/>
        <v>0</v>
      </c>
      <c r="I83" s="8">
        <f t="shared" si="26"/>
        <v>0</v>
      </c>
      <c r="J83" s="11" t="e">
        <f t="shared" si="27"/>
        <v>#DIV/0!</v>
      </c>
    </row>
    <row r="84" spans="3:10" hidden="1">
      <c r="C84" s="7" t="s">
        <v>47</v>
      </c>
      <c r="D84" s="23"/>
      <c r="E84" s="8"/>
      <c r="F84" s="8"/>
      <c r="G84" s="12" t="e">
        <f t="shared" si="24"/>
        <v>#DIV/0!</v>
      </c>
      <c r="H84" s="10">
        <f t="shared" si="25"/>
        <v>0</v>
      </c>
      <c r="I84" s="8">
        <f t="shared" si="26"/>
        <v>0</v>
      </c>
      <c r="J84" s="11" t="e">
        <f t="shared" si="27"/>
        <v>#DIV/0!</v>
      </c>
    </row>
    <row r="85" spans="3:10" ht="15.75" hidden="1" thickBot="1">
      <c r="C85" s="13" t="s">
        <v>48</v>
      </c>
      <c r="D85" s="14"/>
      <c r="E85" s="14"/>
      <c r="F85" s="14"/>
      <c r="G85" s="15" t="e">
        <f t="shared" si="24"/>
        <v>#DIV/0!</v>
      </c>
      <c r="H85" s="16">
        <f t="shared" si="25"/>
        <v>0</v>
      </c>
      <c r="I85" s="14">
        <f t="shared" si="26"/>
        <v>0</v>
      </c>
      <c r="J85" s="17" t="e">
        <f t="shared" si="27"/>
        <v>#DIV/0!</v>
      </c>
    </row>
    <row r="86" spans="3:10" ht="15.75" thickBot="1"/>
    <row r="87" spans="3:10">
      <c r="C87" s="3" t="s">
        <v>60</v>
      </c>
      <c r="D87" s="281" t="s">
        <v>74</v>
      </c>
      <c r="E87" s="282"/>
      <c r="F87" s="282"/>
      <c r="G87" s="282"/>
      <c r="H87" s="282"/>
      <c r="I87" s="282"/>
      <c r="J87" s="283"/>
    </row>
    <row r="88" spans="3:10">
      <c r="C88" s="4" t="s">
        <v>4</v>
      </c>
      <c r="D88" s="278" t="str">
        <f>CONCATENATE('1Z_Performance'!Y12,"_1GB")</f>
        <v>N0025DHR_1GB</v>
      </c>
      <c r="E88" s="279"/>
      <c r="F88" s="279"/>
      <c r="G88" s="279"/>
      <c r="H88" s="279"/>
      <c r="I88" s="279"/>
      <c r="J88" s="280"/>
    </row>
    <row r="89" spans="3:10">
      <c r="C89" s="4" t="s">
        <v>5</v>
      </c>
      <c r="D89" s="5" t="s">
        <v>6</v>
      </c>
      <c r="E89" s="5" t="s">
        <v>7</v>
      </c>
      <c r="F89" s="5" t="s">
        <v>8</v>
      </c>
      <c r="G89" s="5" t="s">
        <v>9</v>
      </c>
      <c r="H89" s="5" t="s">
        <v>10</v>
      </c>
      <c r="I89" s="5" t="s">
        <v>11</v>
      </c>
      <c r="J89" s="6" t="s">
        <v>12</v>
      </c>
    </row>
    <row r="90" spans="3:10">
      <c r="C90" s="27" t="s">
        <v>45</v>
      </c>
      <c r="D90" s="8">
        <v>554.1</v>
      </c>
      <c r="E90" s="8">
        <v>553.36699999999996</v>
      </c>
      <c r="F90" s="8">
        <v>555.58299999999997</v>
      </c>
      <c r="G90" s="9">
        <f t="shared" ref="G90:G97" si="28">AVERAGE(D90:F90)</f>
        <v>554.35</v>
      </c>
      <c r="H90" s="10">
        <f t="shared" ref="H90:H97" si="29">MAX(D90:F90)</f>
        <v>555.58299999999997</v>
      </c>
      <c r="I90" s="8">
        <f t="shared" ref="I90:I97" si="30">MIN(D90:F90)</f>
        <v>553.36699999999996</v>
      </c>
      <c r="J90" s="11">
        <f t="shared" ref="J90:J97" si="31">_xlfn.STDEV.P(D90:F90)</f>
        <v>0.92178775575870131</v>
      </c>
    </row>
    <row r="91" spans="3:10">
      <c r="C91" s="27" t="s">
        <v>46</v>
      </c>
      <c r="D91" s="8">
        <v>530.87699999999995</v>
      </c>
      <c r="E91" s="8">
        <v>525.71699999999998</v>
      </c>
      <c r="F91" s="8">
        <v>530.322</v>
      </c>
      <c r="G91" s="9">
        <f t="shared" si="28"/>
        <v>528.97200000000009</v>
      </c>
      <c r="H91" s="10">
        <f t="shared" si="29"/>
        <v>530.87699999999995</v>
      </c>
      <c r="I91" s="8">
        <f t="shared" si="30"/>
        <v>525.71699999999998</v>
      </c>
      <c r="J91" s="11">
        <f t="shared" si="31"/>
        <v>2.3127580937054302</v>
      </c>
    </row>
    <row r="92" spans="3:10">
      <c r="C92" s="27" t="s">
        <v>93</v>
      </c>
      <c r="D92" s="8">
        <v>93375</v>
      </c>
      <c r="E92" s="8">
        <v>93608.2</v>
      </c>
      <c r="F92" s="8">
        <v>93680.9</v>
      </c>
      <c r="G92" s="9">
        <f t="shared" si="28"/>
        <v>93554.7</v>
      </c>
      <c r="H92" s="10">
        <f t="shared" si="29"/>
        <v>93680.9</v>
      </c>
      <c r="I92" s="8">
        <f t="shared" si="30"/>
        <v>93375</v>
      </c>
      <c r="J92" s="11">
        <f t="shared" si="31"/>
        <v>130.487266300839</v>
      </c>
    </row>
    <row r="93" spans="3:10">
      <c r="C93" s="27" t="s">
        <v>94</v>
      </c>
      <c r="D93" s="8">
        <v>82655.3</v>
      </c>
      <c r="E93" s="8">
        <v>82595</v>
      </c>
      <c r="F93" s="8">
        <v>82738.5</v>
      </c>
      <c r="G93" s="9">
        <f>AVERAGE(D93:F93)</f>
        <v>82662.933333333334</v>
      </c>
      <c r="H93" s="10">
        <f t="shared" si="29"/>
        <v>82738.5</v>
      </c>
      <c r="I93" s="8">
        <f t="shared" si="30"/>
        <v>82595</v>
      </c>
      <c r="J93" s="11">
        <f t="shared" si="31"/>
        <v>58.831756352802699</v>
      </c>
    </row>
    <row r="94" spans="3:10">
      <c r="C94" s="45" t="s">
        <v>49</v>
      </c>
      <c r="D94" s="8">
        <v>523.06100000000004</v>
      </c>
      <c r="E94" s="8">
        <v>494.887</v>
      </c>
      <c r="F94" s="8">
        <v>498.31200000000001</v>
      </c>
      <c r="G94" s="12">
        <f t="shared" si="28"/>
        <v>505.42000000000007</v>
      </c>
      <c r="H94" s="10">
        <f t="shared" si="29"/>
        <v>523.06100000000004</v>
      </c>
      <c r="I94" s="8">
        <f t="shared" si="30"/>
        <v>494.887</v>
      </c>
      <c r="J94" s="11">
        <f t="shared" si="31"/>
        <v>12.552192823035623</v>
      </c>
    </row>
    <row r="95" spans="3:10">
      <c r="C95" s="27" t="s">
        <v>50</v>
      </c>
      <c r="D95" s="8">
        <v>519.35299999999995</v>
      </c>
      <c r="E95" s="8">
        <v>513.18799999999999</v>
      </c>
      <c r="F95" s="8">
        <v>499.762</v>
      </c>
      <c r="G95" s="12">
        <f t="shared" si="28"/>
        <v>510.76766666666663</v>
      </c>
      <c r="H95" s="10">
        <f t="shared" si="29"/>
        <v>519.35299999999995</v>
      </c>
      <c r="I95" s="8">
        <f t="shared" si="30"/>
        <v>499.762</v>
      </c>
      <c r="J95" s="11">
        <f t="shared" si="31"/>
        <v>8.1790517108579657</v>
      </c>
    </row>
    <row r="96" spans="3:10">
      <c r="C96" s="27" t="s">
        <v>95</v>
      </c>
      <c r="D96" s="23">
        <v>10059.799999999999</v>
      </c>
      <c r="E96" s="8">
        <v>10084</v>
      </c>
      <c r="F96" s="8">
        <v>10076.4</v>
      </c>
      <c r="G96" s="12">
        <f t="shared" si="28"/>
        <v>10073.4</v>
      </c>
      <c r="H96" s="10">
        <f t="shared" si="29"/>
        <v>10084</v>
      </c>
      <c r="I96" s="8">
        <f t="shared" si="30"/>
        <v>10059.799999999999</v>
      </c>
      <c r="J96" s="11">
        <f t="shared" si="31"/>
        <v>10.104784345381773</v>
      </c>
    </row>
    <row r="97" spans="3:10" ht="15.75" thickBot="1">
      <c r="C97" s="27" t="s">
        <v>96</v>
      </c>
      <c r="D97" s="14">
        <v>33389.599999999999</v>
      </c>
      <c r="E97" s="14">
        <v>33428.199999999997</v>
      </c>
      <c r="F97" s="14">
        <v>33374.300000000003</v>
      </c>
      <c r="G97" s="15">
        <f t="shared" si="28"/>
        <v>33397.366666666661</v>
      </c>
      <c r="H97" s="16">
        <f t="shared" si="29"/>
        <v>33428.199999999997</v>
      </c>
      <c r="I97" s="14">
        <f t="shared" si="30"/>
        <v>33374.300000000003</v>
      </c>
      <c r="J97" s="17">
        <f t="shared" si="31"/>
        <v>22.679555159264591</v>
      </c>
    </row>
    <row r="98" spans="3:10" ht="15.75" thickBot="1"/>
    <row r="99" spans="3:10" ht="17.45" customHeight="1">
      <c r="C99" s="3" t="s">
        <v>60</v>
      </c>
      <c r="D99" s="281" t="s">
        <v>74</v>
      </c>
      <c r="E99" s="282"/>
      <c r="F99" s="282"/>
      <c r="G99" s="282"/>
      <c r="H99" s="282"/>
      <c r="I99" s="282"/>
      <c r="J99" s="283"/>
    </row>
    <row r="100" spans="3:10">
      <c r="C100" s="4" t="s">
        <v>4</v>
      </c>
      <c r="D100" s="278" t="str">
        <f>CONCATENATE('1Z_Performance'!AB12,"_1GB")</f>
        <v>N0025DHS_1GB</v>
      </c>
      <c r="E100" s="279"/>
      <c r="F100" s="279"/>
      <c r="G100" s="279"/>
      <c r="H100" s="279"/>
      <c r="I100" s="279"/>
      <c r="J100" s="280"/>
    </row>
    <row r="101" spans="3:10">
      <c r="C101" s="4" t="s">
        <v>5</v>
      </c>
      <c r="D101" s="5" t="s">
        <v>6</v>
      </c>
      <c r="E101" s="5" t="s">
        <v>7</v>
      </c>
      <c r="F101" s="5" t="s">
        <v>8</v>
      </c>
      <c r="G101" s="5" t="s">
        <v>9</v>
      </c>
      <c r="H101" s="5" t="s">
        <v>10</v>
      </c>
      <c r="I101" s="5" t="s">
        <v>11</v>
      </c>
      <c r="J101" s="6" t="s">
        <v>12</v>
      </c>
    </row>
    <row r="102" spans="3:10">
      <c r="C102" s="27" t="s">
        <v>45</v>
      </c>
      <c r="D102" s="8">
        <v>528.15300000000002</v>
      </c>
      <c r="E102" s="8">
        <v>526.96600000000001</v>
      </c>
      <c r="F102" s="8">
        <v>526.60799999999995</v>
      </c>
      <c r="G102" s="9">
        <f t="shared" ref="G102:G104" si="32">AVERAGE(D102:F102)</f>
        <v>527.24233333333336</v>
      </c>
      <c r="H102" s="10">
        <f t="shared" ref="H102:H109" si="33">MAX(D102:F102)</f>
        <v>528.15300000000002</v>
      </c>
      <c r="I102" s="8">
        <f t="shared" ref="I102:I109" si="34">MIN(D102:F102)</f>
        <v>526.60799999999995</v>
      </c>
      <c r="J102" s="11">
        <f t="shared" ref="J102:J109" si="35">_xlfn.STDEV.P(D102:F102)</f>
        <v>0.66031625419611517</v>
      </c>
    </row>
    <row r="103" spans="3:10">
      <c r="C103" s="27" t="s">
        <v>46</v>
      </c>
      <c r="D103" s="8">
        <v>532.452</v>
      </c>
      <c r="E103" s="8">
        <v>529.15700000000004</v>
      </c>
      <c r="F103" s="8">
        <v>528.32600000000002</v>
      </c>
      <c r="G103" s="9">
        <f t="shared" si="32"/>
        <v>529.97833333333335</v>
      </c>
      <c r="H103" s="10">
        <f t="shared" si="33"/>
        <v>532.452</v>
      </c>
      <c r="I103" s="8">
        <f t="shared" si="34"/>
        <v>528.32600000000002</v>
      </c>
      <c r="J103" s="11">
        <f t="shared" si="35"/>
        <v>1.7817426550680209</v>
      </c>
    </row>
    <row r="104" spans="3:10">
      <c r="C104" s="27" t="s">
        <v>47</v>
      </c>
      <c r="D104" s="8">
        <v>88978.3</v>
      </c>
      <c r="E104" s="8">
        <v>89162.6</v>
      </c>
      <c r="F104" s="8">
        <v>89440.9</v>
      </c>
      <c r="G104" s="9">
        <f t="shared" si="32"/>
        <v>89193.933333333349</v>
      </c>
      <c r="H104" s="10">
        <f t="shared" si="33"/>
        <v>89440.9</v>
      </c>
      <c r="I104" s="8">
        <f t="shared" si="34"/>
        <v>88978.3</v>
      </c>
      <c r="J104" s="11">
        <f t="shared" si="35"/>
        <v>190.15085823862955</v>
      </c>
    </row>
    <row r="105" spans="3:10">
      <c r="C105" s="27" t="s">
        <v>48</v>
      </c>
      <c r="D105" s="8">
        <v>79530</v>
      </c>
      <c r="E105" s="8">
        <v>79387.899999999994</v>
      </c>
      <c r="F105" s="8">
        <v>79287.100000000006</v>
      </c>
      <c r="G105" s="9">
        <f>AVERAGE(D105:F105)</f>
        <v>79401.666666666672</v>
      </c>
      <c r="H105" s="10">
        <f t="shared" si="33"/>
        <v>79530</v>
      </c>
      <c r="I105" s="8">
        <f t="shared" si="34"/>
        <v>79287.100000000006</v>
      </c>
      <c r="J105" s="11">
        <f t="shared" si="35"/>
        <v>99.640163700296227</v>
      </c>
    </row>
    <row r="106" spans="3:10">
      <c r="C106" s="45" t="s">
        <v>49</v>
      </c>
      <c r="D106" s="8">
        <v>489.29500000000002</v>
      </c>
      <c r="E106" s="8">
        <v>476.30900000000003</v>
      </c>
      <c r="F106" s="8">
        <v>476.93400000000003</v>
      </c>
      <c r="G106" s="12">
        <f t="shared" ref="G106:G109" si="36">AVERAGE(D106:F106)</f>
        <v>480.846</v>
      </c>
      <c r="H106" s="10">
        <f t="shared" si="33"/>
        <v>489.29500000000002</v>
      </c>
      <c r="I106" s="8">
        <f t="shared" si="34"/>
        <v>476.30900000000003</v>
      </c>
      <c r="J106" s="11">
        <f t="shared" si="35"/>
        <v>5.979791356449371</v>
      </c>
    </row>
    <row r="107" spans="3:10">
      <c r="C107" s="27" t="s">
        <v>50</v>
      </c>
      <c r="D107" s="8">
        <v>516.56899999999996</v>
      </c>
      <c r="E107" s="8">
        <v>494.52</v>
      </c>
      <c r="F107" s="8">
        <v>497.24900000000002</v>
      </c>
      <c r="G107" s="12">
        <f t="shared" si="36"/>
        <v>502.77933333333334</v>
      </c>
      <c r="H107" s="10">
        <f t="shared" si="33"/>
        <v>516.56899999999996</v>
      </c>
      <c r="I107" s="8">
        <f t="shared" si="34"/>
        <v>494.52</v>
      </c>
      <c r="J107" s="11">
        <f t="shared" si="35"/>
        <v>9.8142087585069842</v>
      </c>
    </row>
    <row r="108" spans="3:10">
      <c r="C108" s="27" t="s">
        <v>51</v>
      </c>
      <c r="D108" s="23">
        <v>9984.6</v>
      </c>
      <c r="E108" s="8">
        <v>9994.6</v>
      </c>
      <c r="F108" s="8">
        <v>9992.2000000000007</v>
      </c>
      <c r="G108" s="12">
        <f t="shared" si="36"/>
        <v>9990.4666666666672</v>
      </c>
      <c r="H108" s="10">
        <f t="shared" si="33"/>
        <v>9994.6</v>
      </c>
      <c r="I108" s="8">
        <f t="shared" si="34"/>
        <v>9984.6</v>
      </c>
      <c r="J108" s="11">
        <f t="shared" si="35"/>
        <v>4.2624979635055906</v>
      </c>
    </row>
    <row r="109" spans="3:10" ht="15.75" thickBot="1">
      <c r="C109" s="27" t="s">
        <v>52</v>
      </c>
      <c r="D109" s="14">
        <v>32512.9</v>
      </c>
      <c r="E109" s="14">
        <v>32531</v>
      </c>
      <c r="F109" s="14">
        <v>32625.200000000001</v>
      </c>
      <c r="G109" s="15">
        <f t="shared" si="36"/>
        <v>32556.366666666669</v>
      </c>
      <c r="H109" s="16">
        <f t="shared" si="33"/>
        <v>32625.200000000001</v>
      </c>
      <c r="I109" s="14">
        <f t="shared" si="34"/>
        <v>32512.9</v>
      </c>
      <c r="J109" s="17">
        <f t="shared" si="35"/>
        <v>49.230230098543586</v>
      </c>
    </row>
    <row r="110" spans="3:10" ht="18" customHeight="1"/>
    <row r="111" spans="3:10" hidden="1">
      <c r="C111" s="3" t="s">
        <v>53</v>
      </c>
      <c r="D111" s="281" t="s">
        <v>61</v>
      </c>
      <c r="E111" s="282"/>
      <c r="F111" s="282"/>
      <c r="G111" s="282"/>
      <c r="H111" s="282"/>
      <c r="I111" s="282"/>
      <c r="J111" s="283"/>
    </row>
    <row r="112" spans="3:10" hidden="1">
      <c r="C112" s="4" t="s">
        <v>4</v>
      </c>
      <c r="D112" s="278" t="e">
        <f>CONCATENATE('1Z_Performance'!#REF!,"_1GB")</f>
        <v>#REF!</v>
      </c>
      <c r="E112" s="279"/>
      <c r="F112" s="279"/>
      <c r="G112" s="279"/>
      <c r="H112" s="279"/>
      <c r="I112" s="279"/>
      <c r="J112" s="280"/>
    </row>
    <row r="113" spans="3:10" hidden="1">
      <c r="C113" s="4" t="s">
        <v>5</v>
      </c>
      <c r="D113" s="5" t="s">
        <v>6</v>
      </c>
      <c r="E113" s="5" t="s">
        <v>7</v>
      </c>
      <c r="F113" s="5" t="s">
        <v>8</v>
      </c>
      <c r="G113" s="5" t="s">
        <v>9</v>
      </c>
      <c r="H113" s="5" t="s">
        <v>10</v>
      </c>
      <c r="I113" s="5" t="s">
        <v>11</v>
      </c>
      <c r="J113" s="6" t="s">
        <v>12</v>
      </c>
    </row>
    <row r="114" spans="3:10" hidden="1">
      <c r="C114" s="27" t="s">
        <v>45</v>
      </c>
      <c r="D114" s="8">
        <v>544.26</v>
      </c>
      <c r="E114" s="8">
        <v>546.34699999999998</v>
      </c>
      <c r="F114" s="8">
        <v>547.74</v>
      </c>
      <c r="G114" s="9">
        <f t="shared" ref="G114:G121" si="37">AVERAGE(D114:F114)</f>
        <v>546.1156666666667</v>
      </c>
      <c r="H114" s="10">
        <f t="shared" ref="H114:H121" si="38">MAX(D114:F114)</f>
        <v>547.74</v>
      </c>
      <c r="I114" s="8">
        <f t="shared" ref="I114:I121" si="39">MIN(D114:F114)</f>
        <v>544.26</v>
      </c>
      <c r="J114" s="11">
        <f t="shared" ref="J114:J121" si="40">_xlfn.STDEV.P(D114:F114)</f>
        <v>1.4300900515546471</v>
      </c>
    </row>
    <row r="115" spans="3:10" hidden="1">
      <c r="C115" s="27" t="s">
        <v>46</v>
      </c>
      <c r="D115" s="8">
        <v>534.43299999999999</v>
      </c>
      <c r="E115" s="8">
        <v>534.91700000000003</v>
      </c>
      <c r="F115" s="8">
        <v>534.39800000000002</v>
      </c>
      <c r="G115" s="9">
        <f t="shared" si="37"/>
        <v>534.58266666666668</v>
      </c>
      <c r="H115" s="10">
        <f t="shared" si="38"/>
        <v>534.91700000000003</v>
      </c>
      <c r="I115" s="8">
        <f t="shared" si="39"/>
        <v>534.39800000000002</v>
      </c>
      <c r="J115" s="11">
        <f t="shared" si="40"/>
        <v>0.23684078102294787</v>
      </c>
    </row>
    <row r="116" spans="3:10" hidden="1">
      <c r="C116" s="27" t="s">
        <v>51</v>
      </c>
      <c r="D116" s="23">
        <v>93247.3</v>
      </c>
      <c r="E116" s="8">
        <v>93188.7</v>
      </c>
      <c r="F116" s="8">
        <v>92914.3</v>
      </c>
      <c r="G116" s="12">
        <f t="shared" ref="G116:G117" si="41">AVERAGE(D116:F116)</f>
        <v>93116.766666666663</v>
      </c>
      <c r="H116" s="10">
        <f t="shared" ref="H116:H117" si="42">MAX(D116:F116)</f>
        <v>93247.3</v>
      </c>
      <c r="I116" s="8">
        <f t="shared" ref="I116:I117" si="43">MIN(D116:F116)</f>
        <v>92914.3</v>
      </c>
      <c r="J116" s="11">
        <f t="shared" ref="J116:J117" si="44">_xlfn.STDEV.P(D116:F116)</f>
        <v>145.15061909004021</v>
      </c>
    </row>
    <row r="117" spans="3:10" hidden="1">
      <c r="C117" s="27" t="s">
        <v>52</v>
      </c>
      <c r="D117" s="8">
        <v>80346.2</v>
      </c>
      <c r="E117" s="8">
        <v>80547.899999999994</v>
      </c>
      <c r="F117" s="8">
        <v>80240</v>
      </c>
      <c r="G117" s="12">
        <f t="shared" si="41"/>
        <v>80378.033333333326</v>
      </c>
      <c r="H117" s="10">
        <f t="shared" si="42"/>
        <v>80547.899999999994</v>
      </c>
      <c r="I117" s="8">
        <f t="shared" si="43"/>
        <v>80240</v>
      </c>
      <c r="J117" s="11">
        <f t="shared" si="44"/>
        <v>127.69918645873052</v>
      </c>
    </row>
    <row r="118" spans="3:10" hidden="1">
      <c r="C118" s="45" t="s">
        <v>49</v>
      </c>
      <c r="D118" s="46">
        <v>540.61400000000003</v>
      </c>
      <c r="E118" s="46">
        <v>541.27200000000005</v>
      </c>
      <c r="F118" s="46">
        <v>542.05399999999997</v>
      </c>
      <c r="G118" s="47">
        <f t="shared" si="37"/>
        <v>541.31333333333339</v>
      </c>
      <c r="H118" s="48">
        <f t="shared" si="38"/>
        <v>542.05399999999997</v>
      </c>
      <c r="I118" s="46">
        <f t="shared" si="39"/>
        <v>540.61400000000003</v>
      </c>
      <c r="J118" s="49">
        <f t="shared" si="40"/>
        <v>0.5886036206329287</v>
      </c>
    </row>
    <row r="119" spans="3:10" hidden="1">
      <c r="C119" s="27" t="s">
        <v>50</v>
      </c>
      <c r="D119" s="8">
        <v>524.26900000000001</v>
      </c>
      <c r="E119" s="8">
        <v>524.09400000000005</v>
      </c>
      <c r="F119" s="8">
        <v>524.45799999999997</v>
      </c>
      <c r="G119" s="12">
        <f t="shared" si="37"/>
        <v>524.2736666666666</v>
      </c>
      <c r="H119" s="10">
        <f t="shared" si="38"/>
        <v>524.45799999999997</v>
      </c>
      <c r="I119" s="8">
        <f t="shared" si="39"/>
        <v>524.09400000000005</v>
      </c>
      <c r="J119" s="11">
        <f t="shared" si="40"/>
        <v>0.14863901088054157</v>
      </c>
    </row>
    <row r="120" spans="3:10" hidden="1">
      <c r="C120" s="27" t="s">
        <v>47</v>
      </c>
      <c r="D120" s="8">
        <v>10773.2</v>
      </c>
      <c r="E120" s="8">
        <v>10769.3</v>
      </c>
      <c r="F120" s="8">
        <v>10780.3</v>
      </c>
      <c r="G120" s="9">
        <f t="shared" si="37"/>
        <v>10774.266666666666</v>
      </c>
      <c r="H120" s="10">
        <f t="shared" si="38"/>
        <v>10780.3</v>
      </c>
      <c r="I120" s="8">
        <f t="shared" si="39"/>
        <v>10769.3</v>
      </c>
      <c r="J120" s="11">
        <f t="shared" si="40"/>
        <v>4.5536310297996829</v>
      </c>
    </row>
    <row r="121" spans="3:10" ht="15.75" hidden="1" thickBot="1">
      <c r="C121" s="28" t="s">
        <v>48</v>
      </c>
      <c r="D121" s="14">
        <v>35960.9</v>
      </c>
      <c r="E121" s="14">
        <v>35788.300000000003</v>
      </c>
      <c r="F121" s="14">
        <v>35889.4</v>
      </c>
      <c r="G121" s="50">
        <f t="shared" si="37"/>
        <v>35879.533333333333</v>
      </c>
      <c r="H121" s="16">
        <f t="shared" si="38"/>
        <v>35960.9</v>
      </c>
      <c r="I121" s="14">
        <f t="shared" si="39"/>
        <v>35788.300000000003</v>
      </c>
      <c r="J121" s="17">
        <f t="shared" si="40"/>
        <v>70.80820730834904</v>
      </c>
    </row>
    <row r="122" spans="3:10" ht="15.75" hidden="1" thickBot="1"/>
    <row r="123" spans="3:10" hidden="1">
      <c r="C123" s="3" t="s">
        <v>53</v>
      </c>
      <c r="D123" s="281" t="s">
        <v>61</v>
      </c>
      <c r="E123" s="282"/>
      <c r="F123" s="282"/>
      <c r="G123" s="282"/>
      <c r="H123" s="282"/>
      <c r="I123" s="282"/>
      <c r="J123" s="283"/>
    </row>
    <row r="124" spans="3:10" hidden="1">
      <c r="C124" s="4" t="s">
        <v>4</v>
      </c>
      <c r="D124" s="278" t="e">
        <f>CONCATENATE('1Z_Performance'!#REF!,"_1GB")</f>
        <v>#REF!</v>
      </c>
      <c r="E124" s="279"/>
      <c r="F124" s="279"/>
      <c r="G124" s="279"/>
      <c r="H124" s="279"/>
      <c r="I124" s="279"/>
      <c r="J124" s="280"/>
    </row>
    <row r="125" spans="3:10" hidden="1">
      <c r="C125" s="4" t="s">
        <v>5</v>
      </c>
      <c r="D125" s="5" t="s">
        <v>6</v>
      </c>
      <c r="E125" s="5" t="s">
        <v>7</v>
      </c>
      <c r="F125" s="5" t="s">
        <v>8</v>
      </c>
      <c r="G125" s="5" t="s">
        <v>9</v>
      </c>
      <c r="H125" s="5" t="s">
        <v>10</v>
      </c>
      <c r="I125" s="5" t="s">
        <v>11</v>
      </c>
      <c r="J125" s="6" t="s">
        <v>12</v>
      </c>
    </row>
    <row r="126" spans="3:10" hidden="1">
      <c r="C126" s="27" t="s">
        <v>45</v>
      </c>
      <c r="D126" s="8">
        <v>546.61800000000005</v>
      </c>
      <c r="E126" s="8">
        <v>547.43399999999997</v>
      </c>
      <c r="F126" s="8">
        <v>544.279</v>
      </c>
      <c r="G126" s="9">
        <f t="shared" ref="G126:G133" si="45">AVERAGE(D126:F126)</f>
        <v>546.11033333333341</v>
      </c>
      <c r="H126" s="10">
        <f t="shared" ref="H126:H133" si="46">MAX(D126:F126)</f>
        <v>547.43399999999997</v>
      </c>
      <c r="I126" s="8">
        <f t="shared" ref="I126:I133" si="47">MIN(D126:F126)</f>
        <v>544.279</v>
      </c>
      <c r="J126" s="11">
        <f t="shared" ref="J126:J133" si="48">_xlfn.STDEV.P(D126:F126)</f>
        <v>1.3371113973371416</v>
      </c>
    </row>
    <row r="127" spans="3:10" hidden="1">
      <c r="C127" s="27" t="s">
        <v>46</v>
      </c>
      <c r="D127" s="8">
        <v>534.64200000000005</v>
      </c>
      <c r="E127" s="8">
        <v>534.78300000000002</v>
      </c>
      <c r="F127" s="8">
        <v>535.12599999999998</v>
      </c>
      <c r="G127" s="9">
        <f t="shared" si="45"/>
        <v>534.85033333333342</v>
      </c>
      <c r="H127" s="10">
        <f t="shared" si="46"/>
        <v>535.12599999999998</v>
      </c>
      <c r="I127" s="8">
        <f t="shared" si="47"/>
        <v>534.64200000000005</v>
      </c>
      <c r="J127" s="11">
        <f t="shared" si="48"/>
        <v>0.20324752287677011</v>
      </c>
    </row>
    <row r="128" spans="3:10" hidden="1">
      <c r="C128" s="27" t="s">
        <v>51</v>
      </c>
      <c r="D128" s="23">
        <v>94741.9</v>
      </c>
      <c r="E128" s="8">
        <v>93329.1</v>
      </c>
      <c r="F128" s="8">
        <v>93387.7</v>
      </c>
      <c r="G128" s="12">
        <f t="shared" si="45"/>
        <v>93819.566666666666</v>
      </c>
      <c r="H128" s="10">
        <f t="shared" si="46"/>
        <v>94741.9</v>
      </c>
      <c r="I128" s="8">
        <f t="shared" si="47"/>
        <v>93329.1</v>
      </c>
      <c r="J128" s="11">
        <f t="shared" si="48"/>
        <v>652.62678121231806</v>
      </c>
    </row>
    <row r="129" spans="3:10" hidden="1">
      <c r="C129" s="27" t="s">
        <v>52</v>
      </c>
      <c r="D129" s="8">
        <v>80457</v>
      </c>
      <c r="E129" s="8">
        <v>80617.399999999994</v>
      </c>
      <c r="F129" s="8">
        <v>80306.2</v>
      </c>
      <c r="G129" s="12">
        <f t="shared" si="45"/>
        <v>80460.2</v>
      </c>
      <c r="H129" s="10">
        <f t="shared" si="46"/>
        <v>80617.399999999994</v>
      </c>
      <c r="I129" s="8">
        <f t="shared" si="47"/>
        <v>80306.2</v>
      </c>
      <c r="J129" s="11">
        <f t="shared" si="48"/>
        <v>127.06701643883181</v>
      </c>
    </row>
    <row r="130" spans="3:10" hidden="1">
      <c r="C130" s="45" t="s">
        <v>49</v>
      </c>
      <c r="D130" s="46">
        <v>536.25</v>
      </c>
      <c r="E130" s="46">
        <v>535.20299999999997</v>
      </c>
      <c r="F130" s="46">
        <v>534.995</v>
      </c>
      <c r="G130" s="47">
        <f t="shared" si="45"/>
        <v>535.48266666666666</v>
      </c>
      <c r="H130" s="48">
        <f t="shared" si="46"/>
        <v>536.25</v>
      </c>
      <c r="I130" s="46">
        <f t="shared" si="47"/>
        <v>534.995</v>
      </c>
      <c r="J130" s="49">
        <f t="shared" si="48"/>
        <v>0.54919112236897283</v>
      </c>
    </row>
    <row r="131" spans="3:10" hidden="1">
      <c r="C131" s="27" t="s">
        <v>50</v>
      </c>
      <c r="D131" s="8">
        <v>517.76199999999994</v>
      </c>
      <c r="E131" s="8">
        <v>517.71900000000005</v>
      </c>
      <c r="F131" s="8">
        <v>517.178</v>
      </c>
      <c r="G131" s="12">
        <f t="shared" si="45"/>
        <v>517.553</v>
      </c>
      <c r="H131" s="10">
        <f t="shared" si="46"/>
        <v>517.76199999999994</v>
      </c>
      <c r="I131" s="8">
        <f t="shared" si="47"/>
        <v>517.178</v>
      </c>
      <c r="J131" s="11">
        <f t="shared" si="48"/>
        <v>0.26574549227910738</v>
      </c>
    </row>
    <row r="132" spans="3:10" hidden="1">
      <c r="C132" s="27" t="s">
        <v>47</v>
      </c>
      <c r="D132" s="8">
        <v>10654.3</v>
      </c>
      <c r="E132" s="8">
        <v>10681.6</v>
      </c>
      <c r="F132" s="8">
        <v>10592</v>
      </c>
      <c r="G132" s="9">
        <f t="shared" si="45"/>
        <v>10642.633333333333</v>
      </c>
      <c r="H132" s="10">
        <f t="shared" si="46"/>
        <v>10681.6</v>
      </c>
      <c r="I132" s="8">
        <f t="shared" si="47"/>
        <v>10592</v>
      </c>
      <c r="J132" s="11">
        <f t="shared" si="48"/>
        <v>37.497762896234569</v>
      </c>
    </row>
    <row r="133" spans="3:10" ht="15.75" hidden="1" thickBot="1">
      <c r="C133" s="28" t="s">
        <v>48</v>
      </c>
      <c r="D133" s="14">
        <v>35252.699999999997</v>
      </c>
      <c r="E133" s="14">
        <v>35266.400000000001</v>
      </c>
      <c r="F133" s="14">
        <v>35088.6</v>
      </c>
      <c r="G133" s="50">
        <f t="shared" si="45"/>
        <v>35202.566666666673</v>
      </c>
      <c r="H133" s="16">
        <f t="shared" si="46"/>
        <v>35266.400000000001</v>
      </c>
      <c r="I133" s="14">
        <f t="shared" si="47"/>
        <v>35088.6</v>
      </c>
      <c r="J133" s="17">
        <f t="shared" si="48"/>
        <v>80.78045693249264</v>
      </c>
    </row>
    <row r="134" spans="3:10" hidden="1"/>
    <row r="135" spans="3:10" hidden="1"/>
  </sheetData>
  <mergeCells count="22">
    <mergeCell ref="D123:J123"/>
    <mergeCell ref="D124:J124"/>
    <mergeCell ref="D40:J40"/>
    <mergeCell ref="D63:J63"/>
    <mergeCell ref="D64:J64"/>
    <mergeCell ref="D75:J75"/>
    <mergeCell ref="D76:J76"/>
    <mergeCell ref="D51:J51"/>
    <mergeCell ref="D52:J52"/>
    <mergeCell ref="D111:J111"/>
    <mergeCell ref="D112:J112"/>
    <mergeCell ref="D87:J87"/>
    <mergeCell ref="D88:J88"/>
    <mergeCell ref="D99:J99"/>
    <mergeCell ref="D100:J100"/>
    <mergeCell ref="D28:J28"/>
    <mergeCell ref="D3:J3"/>
    <mergeCell ref="D4:J4"/>
    <mergeCell ref="D27:J27"/>
    <mergeCell ref="D39:J39"/>
    <mergeCell ref="D15:J15"/>
    <mergeCell ref="D16:J16"/>
  </mergeCells>
  <phoneticPr fontId="2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FF00"/>
  </sheetPr>
  <dimension ref="B1:J123"/>
  <sheetViews>
    <sheetView zoomScale="85" zoomScaleNormal="85" workbookViewId="0">
      <selection activeCell="V24" sqref="V24"/>
    </sheetView>
  </sheetViews>
  <sheetFormatPr defaultRowHeight="15"/>
  <cols>
    <col min="2" max="2" width="10.140625" bestFit="1" customWidth="1"/>
    <col min="3" max="3" width="31.7109375" customWidth="1"/>
    <col min="4" max="10" width="10.5703125" customWidth="1"/>
  </cols>
  <sheetData>
    <row r="1" spans="2:10" ht="23.25">
      <c r="C1" s="2" t="s">
        <v>22</v>
      </c>
    </row>
    <row r="2" spans="2:10" hidden="1"/>
    <row r="3" spans="2:10" ht="16.5" hidden="1" customHeight="1">
      <c r="B3" s="284" t="s">
        <v>28</v>
      </c>
      <c r="C3" s="3" t="s">
        <v>58</v>
      </c>
      <c r="D3" s="281" t="s">
        <v>61</v>
      </c>
      <c r="E3" s="282"/>
      <c r="F3" s="282"/>
      <c r="G3" s="282"/>
      <c r="H3" s="282"/>
      <c r="I3" s="282"/>
      <c r="J3" s="283"/>
    </row>
    <row r="4" spans="2:10" ht="16.5" hidden="1" customHeight="1">
      <c r="B4" s="284"/>
      <c r="C4" s="4" t="s">
        <v>4</v>
      </c>
      <c r="D4" s="278" t="str">
        <f>CONCATENATE('1Z_Performance'!E12,"_1GB")</f>
        <v>_1GB</v>
      </c>
      <c r="E4" s="279"/>
      <c r="F4" s="279"/>
      <c r="G4" s="279"/>
      <c r="H4" s="279"/>
      <c r="I4" s="279"/>
      <c r="J4" s="280"/>
    </row>
    <row r="5" spans="2:10" ht="16.5" hidden="1" customHeight="1">
      <c r="B5" s="29"/>
      <c r="C5" s="4" t="s">
        <v>5</v>
      </c>
      <c r="D5" s="5" t="s">
        <v>6</v>
      </c>
      <c r="E5" s="5" t="s">
        <v>7</v>
      </c>
      <c r="F5" s="5" t="s">
        <v>8</v>
      </c>
      <c r="G5" s="5" t="s">
        <v>9</v>
      </c>
      <c r="H5" s="5" t="s">
        <v>10</v>
      </c>
      <c r="I5" s="5" t="s">
        <v>11</v>
      </c>
      <c r="J5" s="6" t="s">
        <v>12</v>
      </c>
    </row>
    <row r="6" spans="2:10" ht="16.5" hidden="1" customHeight="1">
      <c r="C6" s="7" t="s">
        <v>45</v>
      </c>
      <c r="D6" s="20">
        <v>544.22</v>
      </c>
      <c r="E6" s="20">
        <v>545.06899999999996</v>
      </c>
      <c r="F6" s="20">
        <v>544.22</v>
      </c>
      <c r="G6" s="9">
        <v>544.50300000000004</v>
      </c>
      <c r="H6" s="10">
        <v>545.06899999999996</v>
      </c>
      <c r="I6" s="8">
        <v>544.22</v>
      </c>
      <c r="J6" s="11">
        <v>0.40022243815155417</v>
      </c>
    </row>
    <row r="7" spans="2:10" ht="16.5" hidden="1" customHeight="1">
      <c r="C7" s="7" t="s">
        <v>46</v>
      </c>
      <c r="D7" s="20">
        <v>522.72</v>
      </c>
      <c r="E7" s="20">
        <v>522.45899999999995</v>
      </c>
      <c r="F7" s="20">
        <v>522.28599999999994</v>
      </c>
      <c r="G7" s="9">
        <v>522.48833333333334</v>
      </c>
      <c r="H7" s="10">
        <v>522.72</v>
      </c>
      <c r="I7" s="8">
        <v>522.28599999999994</v>
      </c>
      <c r="J7" s="11">
        <v>0.17838971071477649</v>
      </c>
    </row>
    <row r="8" spans="2:10" ht="16.5" hidden="1" customHeight="1">
      <c r="C8" s="7" t="s">
        <v>51</v>
      </c>
      <c r="D8" s="20">
        <v>362.23899999999998</v>
      </c>
      <c r="E8" s="20">
        <v>362.6</v>
      </c>
      <c r="F8" s="20">
        <v>367.49200000000002</v>
      </c>
      <c r="G8" s="9">
        <v>364.1103333333333</v>
      </c>
      <c r="H8" s="10">
        <v>367.49200000000002</v>
      </c>
      <c r="I8" s="8">
        <v>362.23899999999998</v>
      </c>
      <c r="J8" s="11">
        <v>2.3957368154471683</v>
      </c>
    </row>
    <row r="9" spans="2:10" ht="16.5" hidden="1" customHeight="1">
      <c r="C9" s="7" t="s">
        <v>52</v>
      </c>
      <c r="D9" s="20">
        <v>514.86300000000006</v>
      </c>
      <c r="E9" s="20">
        <v>514.94899999999996</v>
      </c>
      <c r="F9" s="20">
        <v>514.60599999999999</v>
      </c>
      <c r="G9" s="9">
        <v>514.80599999999993</v>
      </c>
      <c r="H9" s="10">
        <v>514.94899999999996</v>
      </c>
      <c r="I9" s="8">
        <v>514.60599999999999</v>
      </c>
      <c r="J9" s="11">
        <v>0.14571433239961432</v>
      </c>
    </row>
    <row r="10" spans="2:10" ht="16.5" hidden="1" customHeight="1">
      <c r="C10" s="7" t="s">
        <v>49</v>
      </c>
      <c r="D10" s="20">
        <v>10227</v>
      </c>
      <c r="E10" s="20">
        <v>10229.799999999999</v>
      </c>
      <c r="F10" s="20">
        <v>10218.4</v>
      </c>
      <c r="G10" s="12">
        <v>10225.066666666666</v>
      </c>
      <c r="H10" s="10">
        <v>10229.799999999999</v>
      </c>
      <c r="I10" s="8">
        <v>10218.4</v>
      </c>
      <c r="J10" s="11">
        <v>4.8506586036215955</v>
      </c>
    </row>
    <row r="11" spans="2:10" ht="16.5" hidden="1" customHeight="1">
      <c r="C11" s="7" t="s">
        <v>50</v>
      </c>
      <c r="D11" s="20">
        <v>31317.1</v>
      </c>
      <c r="E11" s="20">
        <v>31450.5</v>
      </c>
      <c r="F11" s="20">
        <v>31237.1</v>
      </c>
      <c r="G11" s="12">
        <v>31334.899999999998</v>
      </c>
      <c r="H11" s="10">
        <v>31450.5</v>
      </c>
      <c r="I11" s="8">
        <v>31237.1</v>
      </c>
      <c r="J11" s="11">
        <v>88.024693505099904</v>
      </c>
    </row>
    <row r="12" spans="2:10" ht="16.5" hidden="1" customHeight="1">
      <c r="C12" s="7" t="s">
        <v>47</v>
      </c>
      <c r="D12" s="20">
        <v>99219.8</v>
      </c>
      <c r="E12" s="20">
        <v>89179.6</v>
      </c>
      <c r="F12" s="24">
        <v>85935.5</v>
      </c>
      <c r="G12" s="12">
        <v>91444.966666666674</v>
      </c>
      <c r="H12" s="10">
        <v>99219.8</v>
      </c>
      <c r="I12" s="8">
        <v>85935.5</v>
      </c>
      <c r="J12" s="11">
        <v>5654.9135698277678</v>
      </c>
    </row>
    <row r="13" spans="2:10" ht="17.25" hidden="1" customHeight="1" thickBot="1">
      <c r="C13" s="13" t="s">
        <v>48</v>
      </c>
      <c r="D13" s="14">
        <v>81080.800000000003</v>
      </c>
      <c r="E13" s="14">
        <v>81124.399999999994</v>
      </c>
      <c r="F13" s="14">
        <v>79328.399999999994</v>
      </c>
      <c r="G13" s="15">
        <v>80511.199999999997</v>
      </c>
      <c r="H13" s="16">
        <v>81124.399999999994</v>
      </c>
      <c r="I13" s="14">
        <v>79328.399999999994</v>
      </c>
      <c r="J13" s="17">
        <v>836.55528607897156</v>
      </c>
    </row>
    <row r="14" spans="2:10" ht="17.25" hidden="1" customHeight="1" thickBot="1"/>
    <row r="15" spans="2:10" ht="16.5" hidden="1" customHeight="1">
      <c r="B15" s="30" t="s">
        <v>29</v>
      </c>
      <c r="C15" s="3" t="s">
        <v>58</v>
      </c>
      <c r="D15" s="281" t="s">
        <v>61</v>
      </c>
      <c r="E15" s="282"/>
      <c r="F15" s="282"/>
      <c r="G15" s="282"/>
      <c r="H15" s="282"/>
      <c r="I15" s="282"/>
      <c r="J15" s="283"/>
    </row>
    <row r="16" spans="2:10" ht="16.5" hidden="1" customHeight="1">
      <c r="B16" s="30" t="s">
        <v>30</v>
      </c>
      <c r="C16" s="4" t="s">
        <v>4</v>
      </c>
      <c r="D16" s="278" t="str">
        <f>CONCATENATE('1Z_Performance'!H12,"_1GB")</f>
        <v>_1GB</v>
      </c>
      <c r="E16" s="279"/>
      <c r="F16" s="279"/>
      <c r="G16" s="279"/>
      <c r="H16" s="279"/>
      <c r="I16" s="279"/>
      <c r="J16" s="280"/>
    </row>
    <row r="17" spans="2:10" ht="16.5" hidden="1" customHeight="1">
      <c r="C17" s="4" t="s">
        <v>5</v>
      </c>
      <c r="D17" s="5" t="s">
        <v>6</v>
      </c>
      <c r="E17" s="5" t="s">
        <v>7</v>
      </c>
      <c r="F17" s="5" t="s">
        <v>8</v>
      </c>
      <c r="G17" s="5" t="s">
        <v>9</v>
      </c>
      <c r="H17" s="5" t="s">
        <v>10</v>
      </c>
      <c r="I17" s="5" t="s">
        <v>11</v>
      </c>
      <c r="J17" s="6" t="s">
        <v>12</v>
      </c>
    </row>
    <row r="18" spans="2:10" ht="16.5" hidden="1" customHeight="1">
      <c r="C18" s="7" t="s">
        <v>45</v>
      </c>
      <c r="D18" s="8">
        <v>544.99800000000005</v>
      </c>
      <c r="E18" s="8">
        <v>548.05999999999995</v>
      </c>
      <c r="F18" s="8">
        <v>546.70299999999997</v>
      </c>
      <c r="G18" s="9">
        <v>546.58699999999999</v>
      </c>
      <c r="H18" s="10">
        <v>548</v>
      </c>
      <c r="I18" s="8">
        <v>544.99800000000005</v>
      </c>
      <c r="J18" s="11">
        <v>1.25</v>
      </c>
    </row>
    <row r="19" spans="2:10" ht="16.5" hidden="1" customHeight="1">
      <c r="C19" s="7" t="s">
        <v>46</v>
      </c>
      <c r="D19" s="8">
        <v>521.76599999999996</v>
      </c>
      <c r="E19" s="8">
        <v>522.89400000000001</v>
      </c>
      <c r="F19" s="8">
        <v>522.45899999999995</v>
      </c>
      <c r="G19" s="9">
        <v>522.37300000000005</v>
      </c>
      <c r="H19" s="10">
        <v>523</v>
      </c>
      <c r="I19" s="8">
        <v>521.76599999999996</v>
      </c>
      <c r="J19" s="11">
        <v>0.46</v>
      </c>
    </row>
    <row r="20" spans="2:10" ht="16.5" hidden="1" customHeight="1">
      <c r="C20" s="7" t="s">
        <v>51</v>
      </c>
      <c r="D20" s="8">
        <v>397.399</v>
      </c>
      <c r="E20" s="8">
        <v>387.13400000000001</v>
      </c>
      <c r="F20" s="8">
        <v>365.6</v>
      </c>
      <c r="G20" s="9">
        <v>383.37799999999999</v>
      </c>
      <c r="H20" s="10">
        <v>397</v>
      </c>
      <c r="I20" s="8">
        <v>365.6</v>
      </c>
      <c r="J20" s="11">
        <v>13.25</v>
      </c>
    </row>
    <row r="21" spans="2:10" ht="16.5" hidden="1" customHeight="1">
      <c r="C21" s="7" t="s">
        <v>52</v>
      </c>
      <c r="D21" s="8">
        <v>514.17899999999997</v>
      </c>
      <c r="E21" s="8">
        <v>514.63900000000001</v>
      </c>
      <c r="F21" s="8">
        <v>515.15099999999995</v>
      </c>
      <c r="G21" s="9">
        <v>514.65599999999995</v>
      </c>
      <c r="H21" s="10">
        <v>515</v>
      </c>
      <c r="I21" s="8">
        <v>514.17899999999997</v>
      </c>
      <c r="J21" s="11">
        <v>0.4</v>
      </c>
    </row>
    <row r="22" spans="2:10" ht="16.5" hidden="1" customHeight="1">
      <c r="C22" s="7" t="s">
        <v>49</v>
      </c>
      <c r="D22" s="8">
        <v>10123.200000000001</v>
      </c>
      <c r="E22" s="8">
        <v>10121.5</v>
      </c>
      <c r="F22" s="8">
        <v>10121.5</v>
      </c>
      <c r="G22" s="12">
        <v>10122.1</v>
      </c>
      <c r="H22" s="10">
        <v>10123</v>
      </c>
      <c r="I22" s="8">
        <v>10121.5</v>
      </c>
      <c r="J22" s="11">
        <v>0.8</v>
      </c>
    </row>
    <row r="23" spans="2:10" ht="16.5" hidden="1" customHeight="1">
      <c r="C23" s="7" t="s">
        <v>50</v>
      </c>
      <c r="D23" s="8">
        <v>30991.8</v>
      </c>
      <c r="E23" s="8">
        <v>31029.7</v>
      </c>
      <c r="F23" s="8">
        <v>31003.8</v>
      </c>
      <c r="G23" s="12">
        <v>31008.400000000001</v>
      </c>
      <c r="H23" s="10">
        <v>31030</v>
      </c>
      <c r="I23" s="8">
        <v>30991.8</v>
      </c>
      <c r="J23" s="11">
        <v>15.82</v>
      </c>
    </row>
    <row r="24" spans="2:10" ht="16.5" hidden="1" customHeight="1">
      <c r="C24" s="7" t="s">
        <v>47</v>
      </c>
      <c r="D24" s="8">
        <v>97137.5</v>
      </c>
      <c r="E24" s="26">
        <v>97316.3</v>
      </c>
      <c r="F24" s="8">
        <v>97197.5</v>
      </c>
      <c r="G24" s="12">
        <v>97217.1</v>
      </c>
      <c r="H24" s="10">
        <v>97316</v>
      </c>
      <c r="I24" s="8">
        <v>97137.5</v>
      </c>
      <c r="J24" s="11">
        <v>74.3</v>
      </c>
    </row>
    <row r="25" spans="2:10" ht="17.25" hidden="1" customHeight="1" thickBot="1">
      <c r="C25" s="13" t="s">
        <v>48</v>
      </c>
      <c r="D25" s="14">
        <v>75275.399999999994</v>
      </c>
      <c r="E25" s="14">
        <v>73854.5</v>
      </c>
      <c r="F25" s="14">
        <v>76073.7</v>
      </c>
      <c r="G25" s="15">
        <v>75067.899999999994</v>
      </c>
      <c r="H25" s="16">
        <v>76074</v>
      </c>
      <c r="I25" s="14">
        <v>73854.5</v>
      </c>
      <c r="J25" s="17">
        <v>917.79</v>
      </c>
    </row>
    <row r="26" spans="2:10" ht="17.25" hidden="1" customHeight="1" thickBot="1"/>
    <row r="27" spans="2:10" ht="16.5" hidden="1" customHeight="1">
      <c r="B27" s="30" t="s">
        <v>29</v>
      </c>
      <c r="C27" s="3" t="s">
        <v>58</v>
      </c>
      <c r="D27" s="281" t="s">
        <v>61</v>
      </c>
      <c r="E27" s="282"/>
      <c r="F27" s="282"/>
      <c r="G27" s="282"/>
      <c r="H27" s="282"/>
      <c r="I27" s="282"/>
      <c r="J27" s="283"/>
    </row>
    <row r="28" spans="2:10" ht="16.5" hidden="1" customHeight="1">
      <c r="B28" s="30" t="s">
        <v>41</v>
      </c>
      <c r="C28" s="4" t="s">
        <v>4</v>
      </c>
      <c r="D28" s="278" t="str">
        <f>CONCATENATE('1Z_Performance'!K12,"_1GB")</f>
        <v>_1GB</v>
      </c>
      <c r="E28" s="279"/>
      <c r="F28" s="279"/>
      <c r="G28" s="279"/>
      <c r="H28" s="279"/>
      <c r="I28" s="279"/>
      <c r="J28" s="280"/>
    </row>
    <row r="29" spans="2:10" ht="16.5" hidden="1" customHeight="1">
      <c r="C29" s="4" t="s">
        <v>5</v>
      </c>
      <c r="D29" s="5" t="s">
        <v>6</v>
      </c>
      <c r="E29" s="5" t="s">
        <v>7</v>
      </c>
      <c r="F29" s="5" t="s">
        <v>8</v>
      </c>
      <c r="G29" s="5" t="s">
        <v>9</v>
      </c>
      <c r="H29" s="5" t="s">
        <v>10</v>
      </c>
      <c r="I29" s="5" t="s">
        <v>11</v>
      </c>
      <c r="J29" s="6" t="s">
        <v>12</v>
      </c>
    </row>
    <row r="30" spans="2:10" ht="16.5" hidden="1" customHeight="1">
      <c r="C30" s="7" t="s">
        <v>45</v>
      </c>
      <c r="D30" s="8">
        <v>526.65800000000002</v>
      </c>
      <c r="E30" s="8">
        <v>527.38599999999997</v>
      </c>
      <c r="F30" s="8">
        <v>527.65200000000004</v>
      </c>
      <c r="G30" s="9">
        <v>527.23199999999997</v>
      </c>
      <c r="H30" s="10">
        <v>527.65200000000004</v>
      </c>
      <c r="I30" s="8">
        <v>526.65800000000002</v>
      </c>
      <c r="J30" s="11">
        <v>0.42015552675963891</v>
      </c>
    </row>
    <row r="31" spans="2:10" ht="16.5" hidden="1" customHeight="1">
      <c r="C31" s="7" t="s">
        <v>46</v>
      </c>
      <c r="D31" s="8">
        <v>527.18799999999999</v>
      </c>
      <c r="E31" s="8">
        <v>527.12099999999998</v>
      </c>
      <c r="F31" s="8">
        <v>527.32000000000005</v>
      </c>
      <c r="G31" s="9">
        <v>527.20966666666664</v>
      </c>
      <c r="H31" s="10">
        <v>527.32000000000005</v>
      </c>
      <c r="I31" s="8">
        <v>527.12099999999998</v>
      </c>
      <c r="J31" s="11">
        <v>8.2673386823656062E-2</v>
      </c>
    </row>
    <row r="32" spans="2:10" ht="16.5" hidden="1" customHeight="1">
      <c r="C32" s="7" t="s">
        <v>51</v>
      </c>
      <c r="D32" s="8">
        <v>373.87</v>
      </c>
      <c r="E32" s="8">
        <v>356.041</v>
      </c>
      <c r="F32" s="8">
        <v>384.09399999999999</v>
      </c>
      <c r="G32" s="9">
        <v>371.33500000000004</v>
      </c>
      <c r="H32" s="10">
        <v>384.09399999999999</v>
      </c>
      <c r="I32" s="8">
        <v>356.041</v>
      </c>
      <c r="J32" s="11">
        <v>11.592019409921637</v>
      </c>
    </row>
    <row r="33" spans="2:10" ht="16.5" hidden="1" customHeight="1">
      <c r="C33" s="7" t="s">
        <v>52</v>
      </c>
      <c r="D33" s="8">
        <v>519.58000000000004</v>
      </c>
      <c r="E33" s="8">
        <v>519.91200000000003</v>
      </c>
      <c r="F33" s="8">
        <v>519.66700000000003</v>
      </c>
      <c r="G33" s="9">
        <v>519.71966666666674</v>
      </c>
      <c r="H33" s="10">
        <v>519.91200000000003</v>
      </c>
      <c r="I33" s="8">
        <v>519.58000000000004</v>
      </c>
      <c r="J33" s="11">
        <v>0.14056157211540829</v>
      </c>
    </row>
    <row r="34" spans="2:10" ht="16.5" hidden="1" customHeight="1">
      <c r="C34" s="7" t="s">
        <v>49</v>
      </c>
      <c r="D34" s="8">
        <v>10085</v>
      </c>
      <c r="E34" s="8">
        <v>10085</v>
      </c>
      <c r="F34" s="8">
        <v>10086.5</v>
      </c>
      <c r="G34" s="12">
        <v>10085.5</v>
      </c>
      <c r="H34" s="10">
        <v>10086.5</v>
      </c>
      <c r="I34" s="8">
        <v>10085</v>
      </c>
      <c r="J34" s="11">
        <v>0.70710678118654757</v>
      </c>
    </row>
    <row r="35" spans="2:10" ht="16.5" hidden="1" customHeight="1">
      <c r="C35" s="7" t="s">
        <v>50</v>
      </c>
      <c r="D35" s="8">
        <v>30076.6</v>
      </c>
      <c r="E35" s="8">
        <v>30026.7</v>
      </c>
      <c r="F35" s="8">
        <v>30098.2</v>
      </c>
      <c r="G35" s="12">
        <v>30067.166666666668</v>
      </c>
      <c r="H35" s="10">
        <v>30098.2</v>
      </c>
      <c r="I35" s="8">
        <v>30026.7</v>
      </c>
      <c r="J35" s="11">
        <v>29.942203585500216</v>
      </c>
    </row>
    <row r="36" spans="2:10" ht="16.5" hidden="1" customHeight="1">
      <c r="C36" s="7" t="s">
        <v>47</v>
      </c>
      <c r="D36" s="8">
        <v>90804.7</v>
      </c>
      <c r="E36" s="40">
        <v>92658.8</v>
      </c>
      <c r="F36" s="8">
        <v>92678.2</v>
      </c>
      <c r="G36" s="12">
        <v>92047.233333333337</v>
      </c>
      <c r="H36" s="10">
        <v>92678.2</v>
      </c>
      <c r="I36" s="8">
        <v>90804.7</v>
      </c>
      <c r="J36" s="11">
        <v>878.63944191510734</v>
      </c>
    </row>
    <row r="37" spans="2:10" ht="17.25" hidden="1" customHeight="1" thickBot="1">
      <c r="C37" s="13" t="s">
        <v>48</v>
      </c>
      <c r="D37" s="14">
        <v>70460.800000000003</v>
      </c>
      <c r="E37" s="14">
        <v>70306.399999999994</v>
      </c>
      <c r="F37" s="14">
        <v>70163.5</v>
      </c>
      <c r="G37" s="15">
        <v>70310.233333333337</v>
      </c>
      <c r="H37" s="16">
        <v>70460.800000000003</v>
      </c>
      <c r="I37" s="14">
        <v>70163.5</v>
      </c>
      <c r="J37" s="17">
        <v>121.40248029683137</v>
      </c>
    </row>
    <row r="38" spans="2:10" ht="17.25" hidden="1" customHeight="1" thickBot="1"/>
    <row r="39" spans="2:10" ht="16.5" hidden="1" customHeight="1">
      <c r="B39" s="31" t="s">
        <v>32</v>
      </c>
      <c r="C39" s="3" t="s">
        <v>58</v>
      </c>
      <c r="D39" s="281" t="s">
        <v>61</v>
      </c>
      <c r="E39" s="282"/>
      <c r="F39" s="282"/>
      <c r="G39" s="282"/>
      <c r="H39" s="282"/>
      <c r="I39" s="282"/>
      <c r="J39" s="283"/>
    </row>
    <row r="40" spans="2:10" ht="16.5" hidden="1" customHeight="1">
      <c r="B40" s="31" t="s">
        <v>33</v>
      </c>
      <c r="C40" s="4" t="s">
        <v>4</v>
      </c>
      <c r="D40" s="278" t="str">
        <f>CONCATENATE('1Z_Performance'!N12,"_1GB")</f>
        <v>_1GB</v>
      </c>
      <c r="E40" s="279"/>
      <c r="F40" s="279"/>
      <c r="G40" s="279"/>
      <c r="H40" s="279"/>
      <c r="I40" s="279"/>
      <c r="J40" s="280"/>
    </row>
    <row r="41" spans="2:10" ht="16.5" hidden="1" customHeight="1">
      <c r="C41" s="4" t="s">
        <v>5</v>
      </c>
      <c r="D41" s="5" t="s">
        <v>6</v>
      </c>
      <c r="E41" s="5" t="s">
        <v>7</v>
      </c>
      <c r="F41" s="5" t="s">
        <v>8</v>
      </c>
      <c r="G41" s="5" t="s">
        <v>9</v>
      </c>
      <c r="H41" s="5" t="s">
        <v>10</v>
      </c>
      <c r="I41" s="5" t="s">
        <v>11</v>
      </c>
      <c r="J41" s="6" t="s">
        <v>12</v>
      </c>
    </row>
    <row r="42" spans="2:10" ht="16.5" hidden="1" customHeight="1">
      <c r="C42" s="7" t="s">
        <v>45</v>
      </c>
      <c r="D42" s="8">
        <v>544.07899999999995</v>
      </c>
      <c r="E42" s="8">
        <v>546.774</v>
      </c>
      <c r="F42" s="8">
        <v>547.34500000000003</v>
      </c>
      <c r="G42" s="9">
        <v>546.06600000000003</v>
      </c>
      <c r="H42" s="10">
        <v>547.34500000000003</v>
      </c>
      <c r="I42" s="8">
        <v>544.07899999999995</v>
      </c>
      <c r="J42" s="11">
        <v>1.4242277439604789</v>
      </c>
    </row>
    <row r="43" spans="2:10" ht="16.5" hidden="1" customHeight="1">
      <c r="C43" s="7" t="s">
        <v>46</v>
      </c>
      <c r="D43" s="8">
        <v>522.45899999999995</v>
      </c>
      <c r="E43" s="8">
        <v>522.63300000000004</v>
      </c>
      <c r="F43" s="8">
        <v>522.37300000000005</v>
      </c>
      <c r="G43" s="9">
        <v>522.48833333333334</v>
      </c>
      <c r="H43" s="10">
        <v>522.63300000000004</v>
      </c>
      <c r="I43" s="8">
        <v>522.37300000000005</v>
      </c>
      <c r="J43" s="11">
        <v>0.10815215619158958</v>
      </c>
    </row>
    <row r="44" spans="2:10" ht="16.5" hidden="1" customHeight="1">
      <c r="C44" s="7" t="s">
        <v>51</v>
      </c>
      <c r="D44" s="8">
        <v>398.81099999999998</v>
      </c>
      <c r="E44" s="8">
        <v>417.12700000000001</v>
      </c>
      <c r="F44" s="8">
        <v>379.61500000000001</v>
      </c>
      <c r="G44" s="9">
        <v>398.51766666666663</v>
      </c>
      <c r="H44" s="10">
        <v>417.12700000000001</v>
      </c>
      <c r="I44" s="8">
        <v>379.61500000000001</v>
      </c>
      <c r="J44" s="11">
        <v>15.315614457873448</v>
      </c>
    </row>
    <row r="45" spans="2:10" ht="16.5" hidden="1" customHeight="1">
      <c r="C45" s="7" t="s">
        <v>52</v>
      </c>
      <c r="D45" s="8">
        <v>514.86300000000006</v>
      </c>
      <c r="E45" s="8">
        <v>514.69200000000001</v>
      </c>
      <c r="F45" s="8">
        <v>514.60599999999999</v>
      </c>
      <c r="G45" s="9">
        <v>514.72033333333331</v>
      </c>
      <c r="H45" s="10">
        <v>514.86300000000006</v>
      </c>
      <c r="I45" s="8">
        <v>514.60599999999999</v>
      </c>
      <c r="J45" s="11">
        <v>0.10681552113602777</v>
      </c>
    </row>
    <row r="46" spans="2:10" ht="16.5" hidden="1" customHeight="1">
      <c r="C46" s="7" t="s">
        <v>49</v>
      </c>
      <c r="D46" s="8">
        <v>10131.299999999999</v>
      </c>
      <c r="E46" s="8">
        <v>10129.6</v>
      </c>
      <c r="F46" s="8">
        <v>10138.4</v>
      </c>
      <c r="G46" s="12">
        <v>10133.1</v>
      </c>
      <c r="H46" s="10">
        <v>10138.4</v>
      </c>
      <c r="I46" s="8">
        <v>10129.6</v>
      </c>
      <c r="J46" s="11">
        <v>3.8113864493994054</v>
      </c>
    </row>
    <row r="47" spans="2:10" ht="16.5" hidden="1" customHeight="1">
      <c r="C47" s="7" t="s">
        <v>50</v>
      </c>
      <c r="D47" s="8">
        <v>30822.5</v>
      </c>
      <c r="E47" s="8">
        <v>30830.799999999999</v>
      </c>
      <c r="F47" s="8">
        <v>30879.1</v>
      </c>
      <c r="G47" s="12">
        <v>30844.133333333331</v>
      </c>
      <c r="H47" s="10">
        <v>30879.1</v>
      </c>
      <c r="I47" s="8">
        <v>30822.5</v>
      </c>
      <c r="J47" s="11">
        <v>24.956272869872379</v>
      </c>
    </row>
    <row r="48" spans="2:10" ht="16.5" hidden="1" customHeight="1">
      <c r="C48" s="7" t="s">
        <v>47</v>
      </c>
      <c r="D48" s="23">
        <v>96982.5</v>
      </c>
      <c r="E48" s="8">
        <v>95341.3</v>
      </c>
      <c r="F48" s="8">
        <v>97176.8</v>
      </c>
      <c r="G48" s="12">
        <v>96500.2</v>
      </c>
      <c r="H48" s="10">
        <v>97176.8</v>
      </c>
      <c r="I48" s="8">
        <v>95341.3</v>
      </c>
      <c r="J48" s="11">
        <v>823.29623263237738</v>
      </c>
    </row>
    <row r="49" spans="2:10" ht="17.25" hidden="1" customHeight="1" thickBot="1">
      <c r="C49" s="13" t="s">
        <v>48</v>
      </c>
      <c r="D49" s="14">
        <v>74489.3</v>
      </c>
      <c r="E49" s="14">
        <v>75397.8</v>
      </c>
      <c r="F49" s="14">
        <v>73948.399999999994</v>
      </c>
      <c r="G49" s="15">
        <v>74611.833333333328</v>
      </c>
      <c r="H49" s="16">
        <v>75397.8</v>
      </c>
      <c r="I49" s="14">
        <v>73948.399999999994</v>
      </c>
      <c r="J49" s="17">
        <v>598.02502920493168</v>
      </c>
    </row>
    <row r="50" spans="2:10" ht="17.25" hidden="1" customHeight="1" thickBot="1"/>
    <row r="51" spans="2:10" ht="16.5" hidden="1" customHeight="1">
      <c r="B51" s="31" t="s">
        <v>32</v>
      </c>
      <c r="C51" s="3" t="s">
        <v>58</v>
      </c>
      <c r="D51" s="281" t="s">
        <v>62</v>
      </c>
      <c r="E51" s="282"/>
      <c r="F51" s="282"/>
      <c r="G51" s="282"/>
      <c r="H51" s="282"/>
      <c r="I51" s="282"/>
      <c r="J51" s="283"/>
    </row>
    <row r="52" spans="2:10" ht="16.5" hidden="1" customHeight="1">
      <c r="B52" s="31" t="s">
        <v>31</v>
      </c>
      <c r="C52" s="4" t="s">
        <v>4</v>
      </c>
      <c r="D52" s="278" t="str">
        <f>CONCATENATE('1Z_Performance'!Q12,"_1GB")</f>
        <v>_1GB</v>
      </c>
      <c r="E52" s="279"/>
      <c r="F52" s="279"/>
      <c r="G52" s="279"/>
      <c r="H52" s="279"/>
      <c r="I52" s="279"/>
      <c r="J52" s="280"/>
    </row>
    <row r="53" spans="2:10" ht="16.5" hidden="1" customHeight="1">
      <c r="C53" s="4" t="s">
        <v>5</v>
      </c>
      <c r="D53" s="5" t="s">
        <v>6</v>
      </c>
      <c r="E53" s="5" t="s">
        <v>7</v>
      </c>
      <c r="F53" s="5" t="s">
        <v>8</v>
      </c>
      <c r="G53" s="5" t="s">
        <v>9</v>
      </c>
      <c r="H53" s="5" t="s">
        <v>10</v>
      </c>
      <c r="I53" s="5" t="s">
        <v>11</v>
      </c>
      <c r="J53" s="6" t="s">
        <v>12</v>
      </c>
    </row>
    <row r="54" spans="2:10" ht="16.5" hidden="1" customHeight="1">
      <c r="C54" s="7" t="s">
        <v>45</v>
      </c>
      <c r="D54" s="8">
        <v>545.28099999999995</v>
      </c>
      <c r="E54" s="8">
        <v>545.84900000000005</v>
      </c>
      <c r="F54" s="8">
        <v>545.77800000000002</v>
      </c>
      <c r="G54" s="9">
        <v>545.63600000000008</v>
      </c>
      <c r="H54" s="10">
        <v>545.84900000000005</v>
      </c>
      <c r="I54" s="8">
        <v>545.28099999999995</v>
      </c>
      <c r="J54" s="11">
        <v>0.25269085196478169</v>
      </c>
    </row>
    <row r="55" spans="2:10" ht="16.5" hidden="1" customHeight="1">
      <c r="C55" s="7" t="s">
        <v>46</v>
      </c>
      <c r="D55" s="8">
        <v>523.24199999999996</v>
      </c>
      <c r="E55" s="8">
        <v>524.41899999999998</v>
      </c>
      <c r="F55" s="8">
        <v>524.28800000000001</v>
      </c>
      <c r="G55" s="9">
        <v>523.98300000000006</v>
      </c>
      <c r="H55" s="10">
        <v>524.41899999999998</v>
      </c>
      <c r="I55" s="8">
        <v>523.24199999999996</v>
      </c>
      <c r="J55" s="11">
        <v>0.52668839617622365</v>
      </c>
    </row>
    <row r="56" spans="2:10" ht="16.5" hidden="1" customHeight="1">
      <c r="C56" s="7" t="s">
        <v>51</v>
      </c>
      <c r="D56" s="8">
        <v>446.16500000000002</v>
      </c>
      <c r="E56" s="8">
        <v>445.68400000000003</v>
      </c>
      <c r="F56" s="8">
        <v>446.79700000000003</v>
      </c>
      <c r="G56" s="9">
        <v>446.21533333333338</v>
      </c>
      <c r="H56" s="10">
        <v>446.79700000000003</v>
      </c>
      <c r="I56" s="8">
        <v>445.68400000000003</v>
      </c>
      <c r="J56" s="11">
        <v>0.45577211654753763</v>
      </c>
    </row>
    <row r="57" spans="2:10" ht="16.5" hidden="1" customHeight="1">
      <c r="C57" s="7" t="s">
        <v>52</v>
      </c>
      <c r="D57" s="8">
        <v>431.70499999999998</v>
      </c>
      <c r="E57" s="8">
        <v>430.89800000000002</v>
      </c>
      <c r="F57" s="8">
        <v>427.99</v>
      </c>
      <c r="G57" s="9">
        <v>430.19766666666669</v>
      </c>
      <c r="H57" s="10">
        <v>431.70499999999998</v>
      </c>
      <c r="I57" s="8">
        <v>427.99</v>
      </c>
      <c r="J57" s="11">
        <v>1.595442745934663</v>
      </c>
    </row>
    <row r="58" spans="2:10" ht="16.5" hidden="1" customHeight="1">
      <c r="C58" s="7" t="s">
        <v>49</v>
      </c>
      <c r="D58" s="8">
        <v>10515.8</v>
      </c>
      <c r="E58" s="8">
        <v>10515.4</v>
      </c>
      <c r="F58" s="8">
        <v>10531.6</v>
      </c>
      <c r="G58" s="12">
        <v>10520.933333333332</v>
      </c>
      <c r="H58" s="10">
        <v>10531.6</v>
      </c>
      <c r="I58" s="8">
        <v>10515.4</v>
      </c>
      <c r="J58" s="11">
        <v>7.5442398924982479</v>
      </c>
    </row>
    <row r="59" spans="2:10" ht="16.5" hidden="1" customHeight="1">
      <c r="C59" s="7" t="s">
        <v>50</v>
      </c>
      <c r="D59" s="8">
        <v>30534.6</v>
      </c>
      <c r="E59" s="8">
        <v>30500.3</v>
      </c>
      <c r="F59" s="8">
        <v>30538.400000000001</v>
      </c>
      <c r="G59" s="12">
        <v>30524.433333333331</v>
      </c>
      <c r="H59" s="10">
        <v>30538.400000000001</v>
      </c>
      <c r="I59" s="8">
        <v>30500.3</v>
      </c>
      <c r="J59" s="11">
        <v>17.135213904575892</v>
      </c>
    </row>
    <row r="60" spans="2:10" ht="16.5" hidden="1" customHeight="1">
      <c r="C60" s="7" t="s">
        <v>47</v>
      </c>
      <c r="D60" s="25">
        <v>91277.9</v>
      </c>
      <c r="E60" s="8">
        <v>90463.4</v>
      </c>
      <c r="F60" s="8">
        <v>83147.100000000006</v>
      </c>
      <c r="G60" s="12">
        <v>88296.133333333346</v>
      </c>
      <c r="H60" s="10">
        <v>91277.9</v>
      </c>
      <c r="I60" s="8">
        <v>83147.100000000006</v>
      </c>
      <c r="J60" s="11">
        <v>3656.068996735271</v>
      </c>
    </row>
    <row r="61" spans="2:10" ht="17.25" hidden="1" customHeight="1" thickBot="1">
      <c r="C61" s="13" t="s">
        <v>48</v>
      </c>
      <c r="D61" s="14">
        <v>66599.199999999997</v>
      </c>
      <c r="E61" s="14">
        <v>65778.2</v>
      </c>
      <c r="F61" s="14">
        <v>65716.899999999994</v>
      </c>
      <c r="G61" s="15">
        <v>66031.433333333334</v>
      </c>
      <c r="H61" s="16">
        <v>66599.199999999997</v>
      </c>
      <c r="I61" s="14">
        <v>65716.899999999994</v>
      </c>
      <c r="J61" s="17">
        <v>402.25088633284099</v>
      </c>
    </row>
    <row r="62" spans="2:10" ht="17.25" hidden="1" customHeight="1" thickBot="1"/>
    <row r="63" spans="2:10" ht="16.5" hidden="1" customHeight="1">
      <c r="B63" s="30" t="s">
        <v>77</v>
      </c>
      <c r="C63" s="3" t="s">
        <v>58</v>
      </c>
      <c r="D63" s="281" t="s">
        <v>75</v>
      </c>
      <c r="E63" s="282"/>
      <c r="F63" s="282"/>
      <c r="G63" s="282"/>
      <c r="H63" s="282"/>
      <c r="I63" s="282"/>
      <c r="J63" s="283"/>
    </row>
    <row r="64" spans="2:10" ht="16.5" hidden="1" customHeight="1">
      <c r="B64" s="30" t="s">
        <v>78</v>
      </c>
      <c r="C64" s="4" t="s">
        <v>4</v>
      </c>
      <c r="D64" s="278" t="str">
        <f>CONCATENATE('1Z_Performance'!T12,"_1GB")</f>
        <v>A0013DHR_1GB</v>
      </c>
      <c r="E64" s="279"/>
      <c r="F64" s="279"/>
      <c r="G64" s="279"/>
      <c r="H64" s="279"/>
      <c r="I64" s="279"/>
      <c r="J64" s="280"/>
    </row>
    <row r="65" spans="2:10" ht="16.5" hidden="1" customHeight="1">
      <c r="C65" s="4" t="s">
        <v>5</v>
      </c>
      <c r="D65" s="5" t="s">
        <v>6</v>
      </c>
      <c r="E65" s="5" t="s">
        <v>7</v>
      </c>
      <c r="F65" s="5" t="s">
        <v>8</v>
      </c>
      <c r="G65" s="5" t="s">
        <v>9</v>
      </c>
      <c r="H65" s="5" t="s">
        <v>10</v>
      </c>
      <c r="I65" s="5" t="s">
        <v>11</v>
      </c>
      <c r="J65" s="6" t="s">
        <v>12</v>
      </c>
    </row>
    <row r="66" spans="2:10" ht="16.5" hidden="1" customHeight="1">
      <c r="C66" s="7" t="s">
        <v>45</v>
      </c>
      <c r="D66" s="8">
        <v>559.45399999999995</v>
      </c>
      <c r="E66" s="8">
        <v>560.41600000000005</v>
      </c>
      <c r="F66" s="8">
        <v>556.26599999999996</v>
      </c>
      <c r="G66" s="9">
        <v>534.93100000000004</v>
      </c>
      <c r="H66" s="10">
        <v>538.07600000000002</v>
      </c>
      <c r="I66" s="8">
        <v>532.07000000000005</v>
      </c>
      <c r="J66" s="11">
        <v>2.4601491824684008</v>
      </c>
    </row>
    <row r="67" spans="2:10" ht="16.5" hidden="1" customHeight="1">
      <c r="C67" s="7" t="s">
        <v>46</v>
      </c>
      <c r="D67" s="8">
        <v>525.70100000000002</v>
      </c>
      <c r="E67" s="8">
        <v>515.16800000000001</v>
      </c>
      <c r="F67" s="8">
        <v>513.57100000000003</v>
      </c>
      <c r="G67" s="9">
        <v>515.41499999999996</v>
      </c>
      <c r="H67" s="10">
        <v>517.21900000000005</v>
      </c>
      <c r="I67" s="8">
        <v>513.92399999999998</v>
      </c>
      <c r="J67" s="11">
        <v>1.3632639754158966</v>
      </c>
    </row>
    <row r="68" spans="2:10" ht="16.5" hidden="1" customHeight="1">
      <c r="C68" s="7" t="s">
        <v>51</v>
      </c>
      <c r="D68" s="8">
        <v>95011.7</v>
      </c>
      <c r="E68" s="8">
        <v>95133.3</v>
      </c>
      <c r="F68" s="8">
        <v>95249.3</v>
      </c>
      <c r="G68" s="9">
        <v>365.32566666666668</v>
      </c>
      <c r="H68" s="10">
        <v>378.73</v>
      </c>
      <c r="I68" s="8">
        <v>345.68400000000003</v>
      </c>
      <c r="J68" s="11">
        <v>14.1936082876139</v>
      </c>
    </row>
    <row r="69" spans="2:10" ht="16.5" hidden="1" customHeight="1">
      <c r="C69" s="7" t="s">
        <v>52</v>
      </c>
      <c r="D69" s="8">
        <v>79089.8</v>
      </c>
      <c r="E69" s="8">
        <v>79041.7</v>
      </c>
      <c r="F69" s="8">
        <v>78796.899999999994</v>
      </c>
      <c r="G69" s="9">
        <v>500.291</v>
      </c>
      <c r="H69" s="10">
        <v>503.637</v>
      </c>
      <c r="I69" s="8">
        <v>495.92500000000001</v>
      </c>
      <c r="J69" s="11">
        <v>3.2299675952966806</v>
      </c>
    </row>
    <row r="70" spans="2:10" ht="16.5" hidden="1" customHeight="1">
      <c r="C70" s="7" t="s">
        <v>49</v>
      </c>
      <c r="D70" s="8">
        <v>517.60699999999997</v>
      </c>
      <c r="E70" s="8">
        <v>509.25700000000001</v>
      </c>
      <c r="F70" s="8">
        <v>531.62400000000002</v>
      </c>
      <c r="G70" s="12">
        <v>9929.5666666666675</v>
      </c>
      <c r="H70" s="10">
        <v>9931.7999999999993</v>
      </c>
      <c r="I70" s="8">
        <v>9926.7999999999993</v>
      </c>
      <c r="J70" s="11">
        <v>2.0757863302587953</v>
      </c>
    </row>
    <row r="71" spans="2:10" ht="16.5" hidden="1" customHeight="1">
      <c r="C71" s="7" t="s">
        <v>50</v>
      </c>
      <c r="D71" s="8">
        <v>486.161</v>
      </c>
      <c r="E71" s="8">
        <v>483.43799999999999</v>
      </c>
      <c r="F71" s="8">
        <v>488.86</v>
      </c>
      <c r="G71" s="12">
        <v>30661.166666666668</v>
      </c>
      <c r="H71" s="10">
        <v>30725.1</v>
      </c>
      <c r="I71" s="8">
        <v>30618.400000000001</v>
      </c>
      <c r="J71" s="11">
        <v>46.059695565162521</v>
      </c>
    </row>
    <row r="72" spans="2:10" ht="16.5" hidden="1" customHeight="1">
      <c r="C72" s="7" t="s">
        <v>47</v>
      </c>
      <c r="D72" s="23">
        <v>10688.2</v>
      </c>
      <c r="E72" s="8">
        <v>10688.5</v>
      </c>
      <c r="F72" s="8">
        <v>10698.5</v>
      </c>
      <c r="G72" s="12">
        <v>91604.733333333337</v>
      </c>
      <c r="H72" s="10">
        <v>93065.1</v>
      </c>
      <c r="I72" s="8">
        <v>90223.8</v>
      </c>
      <c r="J72" s="11">
        <v>1161.3149625412673</v>
      </c>
    </row>
    <row r="73" spans="2:10" ht="17.25" hidden="1" customHeight="1" thickBot="1">
      <c r="C73" s="13" t="s">
        <v>48</v>
      </c>
      <c r="D73" s="14">
        <v>33673.1</v>
      </c>
      <c r="E73" s="14">
        <v>33808.6</v>
      </c>
      <c r="F73" s="14">
        <v>33774.9</v>
      </c>
      <c r="G73" s="15">
        <v>71517.733333333323</v>
      </c>
      <c r="H73" s="16">
        <v>72502.5</v>
      </c>
      <c r="I73" s="14">
        <v>70036.3</v>
      </c>
      <c r="J73" s="17">
        <v>1066.315757904548</v>
      </c>
    </row>
    <row r="74" spans="2:10" ht="17.25" hidden="1" customHeight="1" thickBot="1"/>
    <row r="75" spans="2:10" ht="16.5" hidden="1" customHeight="1">
      <c r="B75" s="30" t="s">
        <v>79</v>
      </c>
      <c r="C75" s="3" t="s">
        <v>58</v>
      </c>
      <c r="D75" s="281" t="s">
        <v>75</v>
      </c>
      <c r="E75" s="282"/>
      <c r="F75" s="282"/>
      <c r="G75" s="282"/>
      <c r="H75" s="282"/>
      <c r="I75" s="282"/>
      <c r="J75" s="283"/>
    </row>
    <row r="76" spans="2:10" ht="16.5" hidden="1" customHeight="1">
      <c r="B76" s="30" t="s">
        <v>80</v>
      </c>
      <c r="C76" s="4" t="s">
        <v>4</v>
      </c>
      <c r="D76" s="278" t="str">
        <f>CONCATENATE('1Z_Performance'!W12,"_1GB")</f>
        <v>A0013DHS_1GB</v>
      </c>
      <c r="E76" s="279"/>
      <c r="F76" s="279"/>
      <c r="G76" s="279"/>
      <c r="H76" s="279"/>
      <c r="I76" s="279"/>
      <c r="J76" s="280"/>
    </row>
    <row r="77" spans="2:10" ht="16.5" hidden="1" customHeight="1">
      <c r="C77" s="4" t="s">
        <v>5</v>
      </c>
      <c r="D77" s="5" t="s">
        <v>6</v>
      </c>
      <c r="E77" s="5" t="s">
        <v>7</v>
      </c>
      <c r="F77" s="5" t="s">
        <v>8</v>
      </c>
      <c r="G77" s="5" t="s">
        <v>9</v>
      </c>
      <c r="H77" s="5" t="s">
        <v>10</v>
      </c>
      <c r="I77" s="5" t="s">
        <v>11</v>
      </c>
      <c r="J77" s="6" t="s">
        <v>12</v>
      </c>
    </row>
    <row r="78" spans="2:10" ht="16.5" hidden="1" customHeight="1">
      <c r="C78" s="7" t="s">
        <v>45</v>
      </c>
      <c r="D78" s="8">
        <v>538.11699999999996</v>
      </c>
      <c r="E78" s="8">
        <v>540.74099999999999</v>
      </c>
      <c r="F78" s="8">
        <v>541.50400000000002</v>
      </c>
      <c r="G78" s="9">
        <v>517.08233333333328</v>
      </c>
      <c r="H78" s="10">
        <v>519.09699999999998</v>
      </c>
      <c r="I78" s="8">
        <v>515.18600000000004</v>
      </c>
      <c r="J78" s="11">
        <v>1.5988500728822197</v>
      </c>
    </row>
    <row r="79" spans="2:10" ht="16.5" hidden="1" customHeight="1">
      <c r="C79" s="7" t="s">
        <v>46</v>
      </c>
      <c r="D79" s="8">
        <v>526.60599999999999</v>
      </c>
      <c r="E79" s="8">
        <v>510.76400000000001</v>
      </c>
      <c r="F79" s="8">
        <v>511.57499999999999</v>
      </c>
      <c r="G79" s="9">
        <v>522.86833333333334</v>
      </c>
      <c r="H79" s="10">
        <v>524.81299999999999</v>
      </c>
      <c r="I79" s="8">
        <v>521.59299999999996</v>
      </c>
      <c r="J79" s="11">
        <v>1.3971650662045125</v>
      </c>
    </row>
    <row r="80" spans="2:10" ht="16.5" hidden="1" customHeight="1">
      <c r="C80" s="7" t="s">
        <v>51</v>
      </c>
      <c r="D80" s="8">
        <v>90981</v>
      </c>
      <c r="E80" s="8">
        <v>91268.3</v>
      </c>
      <c r="F80" s="8">
        <v>91122.3</v>
      </c>
      <c r="G80" s="9">
        <v>356.8486666666667</v>
      </c>
      <c r="H80" s="10">
        <v>374.36700000000002</v>
      </c>
      <c r="I80" s="8">
        <v>334.541</v>
      </c>
      <c r="J80" s="11">
        <v>16.607846626084783</v>
      </c>
    </row>
    <row r="81" spans="2:10" ht="16.5" hidden="1" customHeight="1">
      <c r="C81" s="7" t="s">
        <v>52</v>
      </c>
      <c r="D81" s="8">
        <v>76965.100000000006</v>
      </c>
      <c r="E81" s="8">
        <v>77113.5</v>
      </c>
      <c r="F81" s="8">
        <v>77535.399999999994</v>
      </c>
      <c r="G81" s="9">
        <v>508.34100000000007</v>
      </c>
      <c r="H81" s="10">
        <v>508.69600000000003</v>
      </c>
      <c r="I81" s="8">
        <v>507.93700000000001</v>
      </c>
      <c r="J81" s="11">
        <v>0.31179159706445364</v>
      </c>
    </row>
    <row r="82" spans="2:10" ht="16.5" hidden="1" customHeight="1">
      <c r="C82" s="7" t="s">
        <v>49</v>
      </c>
      <c r="D82" s="8">
        <v>520.51599999999996</v>
      </c>
      <c r="E82" s="8">
        <v>519.85599999999999</v>
      </c>
      <c r="F82" s="8">
        <v>520.69100000000003</v>
      </c>
      <c r="G82" s="12">
        <v>9832.8666666666668</v>
      </c>
      <c r="H82" s="10">
        <v>9833.4</v>
      </c>
      <c r="I82" s="8">
        <v>9831.7999999999993</v>
      </c>
      <c r="J82" s="11">
        <v>0.75424723326582221</v>
      </c>
    </row>
    <row r="83" spans="2:10" ht="16.5" hidden="1" customHeight="1">
      <c r="C83" s="7" t="s">
        <v>50</v>
      </c>
      <c r="D83" s="8">
        <v>510.50900000000001</v>
      </c>
      <c r="E83" s="8">
        <v>516.37199999999996</v>
      </c>
      <c r="F83" s="8">
        <v>514.48800000000006</v>
      </c>
      <c r="G83" s="12">
        <v>29647.399999999998</v>
      </c>
      <c r="H83" s="10">
        <v>29673.1</v>
      </c>
      <c r="I83" s="8">
        <v>29613.8</v>
      </c>
      <c r="J83" s="11">
        <v>24.845254409376739</v>
      </c>
    </row>
    <row r="84" spans="2:10" ht="16.5" hidden="1" customHeight="1">
      <c r="C84" s="7" t="s">
        <v>47</v>
      </c>
      <c r="D84" s="23">
        <v>10609.4</v>
      </c>
      <c r="E84" s="8">
        <v>10607.7</v>
      </c>
      <c r="F84" s="8">
        <v>10608.6</v>
      </c>
      <c r="G84" s="12">
        <v>86784.133333333331</v>
      </c>
      <c r="H84" s="10">
        <v>89355</v>
      </c>
      <c r="I84" s="8">
        <v>83373</v>
      </c>
      <c r="J84" s="11">
        <v>2513.3798032839272</v>
      </c>
    </row>
    <row r="85" spans="2:10" ht="17.25" hidden="1" customHeight="1" thickBot="1">
      <c r="C85" s="13" t="s">
        <v>48</v>
      </c>
      <c r="D85" s="14">
        <v>33181.599999999999</v>
      </c>
      <c r="E85" s="14">
        <v>33192.1</v>
      </c>
      <c r="F85" s="14">
        <v>33164.1</v>
      </c>
      <c r="G85" s="15">
        <v>68451.400000000009</v>
      </c>
      <c r="H85" s="16">
        <v>69054.3</v>
      </c>
      <c r="I85" s="14">
        <v>67752.3</v>
      </c>
      <c r="J85" s="17">
        <v>535.87425763886085</v>
      </c>
    </row>
    <row r="86" spans="2:10" ht="15.75" thickBot="1"/>
    <row r="87" spans="2:10" ht="17.45" customHeight="1">
      <c r="B87" s="31" t="s">
        <v>81</v>
      </c>
      <c r="C87" s="3" t="s">
        <v>59</v>
      </c>
      <c r="D87" s="281" t="s">
        <v>74</v>
      </c>
      <c r="E87" s="282"/>
      <c r="F87" s="282"/>
      <c r="G87" s="282"/>
      <c r="H87" s="282"/>
      <c r="I87" s="282"/>
      <c r="J87" s="283"/>
    </row>
    <row r="88" spans="2:10">
      <c r="B88" s="31" t="s">
        <v>82</v>
      </c>
      <c r="C88" s="4" t="s">
        <v>4</v>
      </c>
      <c r="D88" s="278" t="str">
        <f>CONCATENATE('1Z_Performance'!Z12,"_1GB")</f>
        <v>A0026DHR_1GB</v>
      </c>
      <c r="E88" s="279"/>
      <c r="F88" s="279"/>
      <c r="G88" s="279"/>
      <c r="H88" s="279"/>
      <c r="I88" s="279"/>
      <c r="J88" s="280"/>
    </row>
    <row r="89" spans="2:10">
      <c r="C89" s="4" t="s">
        <v>5</v>
      </c>
      <c r="D89" s="5" t="s">
        <v>6</v>
      </c>
      <c r="E89" s="5" t="s">
        <v>7</v>
      </c>
      <c r="F89" s="5" t="s">
        <v>8</v>
      </c>
      <c r="G89" s="5" t="s">
        <v>9</v>
      </c>
      <c r="H89" s="5" t="s">
        <v>10</v>
      </c>
      <c r="I89" s="5" t="s">
        <v>11</v>
      </c>
      <c r="J89" s="6" t="s">
        <v>12</v>
      </c>
    </row>
    <row r="90" spans="2:10">
      <c r="C90" s="7" t="s">
        <v>45</v>
      </c>
      <c r="D90" s="8">
        <v>553.86</v>
      </c>
      <c r="E90" s="8">
        <v>552.53599999999994</v>
      </c>
      <c r="F90" s="8">
        <v>556.30499999999995</v>
      </c>
      <c r="G90" s="9">
        <f t="shared" ref="G90:G97" si="0">AVERAGE(D90:F90)</f>
        <v>554.23366666666664</v>
      </c>
      <c r="H90" s="10">
        <f t="shared" ref="H90:H97" si="1">MAX(D90:F90)</f>
        <v>556.30499999999995</v>
      </c>
      <c r="I90" s="8">
        <f t="shared" ref="I90:I97" si="2">MIN(D90:F90)</f>
        <v>552.53599999999994</v>
      </c>
      <c r="J90" s="11">
        <f t="shared" ref="J90:J97" si="3">_xlfn.STDEV.P(D90:F90)</f>
        <v>1.5612090044435261</v>
      </c>
    </row>
    <row r="91" spans="2:10">
      <c r="C91" s="7" t="s">
        <v>46</v>
      </c>
      <c r="D91" s="8">
        <v>531.21900000000005</v>
      </c>
      <c r="E91" s="8">
        <v>530.62699999999995</v>
      </c>
      <c r="F91" s="8">
        <v>530.1</v>
      </c>
      <c r="G91" s="9">
        <f t="shared" si="0"/>
        <v>530.6486666666666</v>
      </c>
      <c r="H91" s="10">
        <f t="shared" si="1"/>
        <v>531.21900000000005</v>
      </c>
      <c r="I91" s="8">
        <f t="shared" si="2"/>
        <v>530.1</v>
      </c>
      <c r="J91" s="11">
        <f t="shared" si="3"/>
        <v>0.45708666817380916</v>
      </c>
    </row>
    <row r="92" spans="2:10">
      <c r="C92" s="7" t="s">
        <v>93</v>
      </c>
      <c r="D92" s="8">
        <v>93528.3</v>
      </c>
      <c r="E92" s="8">
        <v>93746.6</v>
      </c>
      <c r="F92" s="8">
        <v>93693.4</v>
      </c>
      <c r="G92" s="9">
        <f t="shared" si="0"/>
        <v>93656.10000000002</v>
      </c>
      <c r="H92" s="10">
        <f t="shared" si="1"/>
        <v>93746.6</v>
      </c>
      <c r="I92" s="8">
        <f t="shared" si="2"/>
        <v>93528.3</v>
      </c>
      <c r="J92" s="11">
        <f t="shared" si="3"/>
        <v>92.941522833804612</v>
      </c>
    </row>
    <row r="93" spans="2:10">
      <c r="C93" s="7" t="s">
        <v>94</v>
      </c>
      <c r="D93" s="8">
        <v>82453.600000000006</v>
      </c>
      <c r="E93" s="8">
        <v>82343.8</v>
      </c>
      <c r="F93" s="8">
        <v>82622.3</v>
      </c>
      <c r="G93" s="9">
        <f t="shared" si="0"/>
        <v>82473.233333333337</v>
      </c>
      <c r="H93" s="10">
        <f t="shared" si="1"/>
        <v>82622.3</v>
      </c>
      <c r="I93" s="8">
        <f t="shared" si="2"/>
        <v>82343.8</v>
      </c>
      <c r="J93" s="11">
        <f t="shared" si="3"/>
        <v>114.54158875952227</v>
      </c>
    </row>
    <row r="94" spans="2:10">
      <c r="C94" s="7" t="s">
        <v>49</v>
      </c>
      <c r="D94" s="8">
        <v>510.07299999999998</v>
      </c>
      <c r="E94" s="8">
        <v>515.78300000000002</v>
      </c>
      <c r="F94" s="8">
        <v>496.83800000000002</v>
      </c>
      <c r="G94" s="12">
        <f t="shared" si="0"/>
        <v>507.56466666666665</v>
      </c>
      <c r="H94" s="10">
        <f t="shared" si="1"/>
        <v>515.78300000000002</v>
      </c>
      <c r="I94" s="8">
        <f t="shared" si="2"/>
        <v>496.83800000000002</v>
      </c>
      <c r="J94" s="11">
        <f t="shared" si="3"/>
        <v>7.9350302806955586</v>
      </c>
    </row>
    <row r="95" spans="2:10">
      <c r="C95" s="7" t="s">
        <v>50</v>
      </c>
      <c r="D95" s="8">
        <v>520.303</v>
      </c>
      <c r="E95" s="8">
        <v>481.09800000000001</v>
      </c>
      <c r="F95" s="8">
        <v>507.09100000000001</v>
      </c>
      <c r="G95" s="12">
        <f t="shared" si="0"/>
        <v>502.83066666666673</v>
      </c>
      <c r="H95" s="10">
        <f t="shared" si="1"/>
        <v>520.303</v>
      </c>
      <c r="I95" s="8">
        <f t="shared" si="2"/>
        <v>481.09800000000001</v>
      </c>
      <c r="J95" s="11">
        <f t="shared" si="3"/>
        <v>16.286412257529957</v>
      </c>
    </row>
    <row r="96" spans="2:10">
      <c r="C96" s="7" t="s">
        <v>95</v>
      </c>
      <c r="D96" s="23">
        <v>10088.6</v>
      </c>
      <c r="E96" s="8">
        <v>10101.799999999999</v>
      </c>
      <c r="F96" s="8">
        <v>10100.299999999999</v>
      </c>
      <c r="G96" s="12">
        <f t="shared" si="0"/>
        <v>10096.9</v>
      </c>
      <c r="H96" s="10">
        <f t="shared" si="1"/>
        <v>10101.799999999999</v>
      </c>
      <c r="I96" s="8">
        <f t="shared" si="2"/>
        <v>10088.6</v>
      </c>
      <c r="J96" s="11">
        <f t="shared" si="3"/>
        <v>5.9008473967722601</v>
      </c>
    </row>
    <row r="97" spans="2:10" ht="15.75" thickBot="1">
      <c r="C97" s="13" t="s">
        <v>96</v>
      </c>
      <c r="D97" s="14">
        <v>33751.5</v>
      </c>
      <c r="E97" s="14">
        <v>33712.6</v>
      </c>
      <c r="F97" s="14">
        <v>33737.300000000003</v>
      </c>
      <c r="G97" s="15">
        <f t="shared" si="0"/>
        <v>33733.800000000003</v>
      </c>
      <c r="H97" s="16">
        <f t="shared" si="1"/>
        <v>33751.5</v>
      </c>
      <c r="I97" s="14">
        <f t="shared" si="2"/>
        <v>33712.6</v>
      </c>
      <c r="J97" s="17">
        <f t="shared" si="3"/>
        <v>16.072543876645479</v>
      </c>
    </row>
    <row r="98" spans="2:10" ht="15.75" thickBot="1"/>
    <row r="99" spans="2:10" ht="17.45" customHeight="1">
      <c r="B99" s="31" t="s">
        <v>83</v>
      </c>
      <c r="C99" s="3" t="s">
        <v>59</v>
      </c>
      <c r="D99" s="281" t="s">
        <v>74</v>
      </c>
      <c r="E99" s="282"/>
      <c r="F99" s="282"/>
      <c r="G99" s="282"/>
      <c r="H99" s="282"/>
      <c r="I99" s="282"/>
      <c r="J99" s="283"/>
    </row>
    <row r="100" spans="2:10">
      <c r="B100" s="31" t="s">
        <v>82</v>
      </c>
      <c r="C100" s="4" t="s">
        <v>4</v>
      </c>
      <c r="D100" s="278" t="str">
        <f>CONCATENATE('1Z_Performance'!AC12,"_1GB")</f>
        <v>A0026DHS_1GB</v>
      </c>
      <c r="E100" s="279"/>
      <c r="F100" s="279"/>
      <c r="G100" s="279"/>
      <c r="H100" s="279"/>
      <c r="I100" s="279"/>
      <c r="J100" s="280"/>
    </row>
    <row r="101" spans="2:10">
      <c r="C101" s="4" t="s">
        <v>5</v>
      </c>
      <c r="D101" s="5" t="s">
        <v>6</v>
      </c>
      <c r="E101" s="5" t="s">
        <v>7</v>
      </c>
      <c r="F101" s="5" t="s">
        <v>8</v>
      </c>
      <c r="G101" s="5" t="s">
        <v>9</v>
      </c>
      <c r="H101" s="5" t="s">
        <v>10</v>
      </c>
      <c r="I101" s="5" t="s">
        <v>11</v>
      </c>
      <c r="J101" s="6" t="s">
        <v>12</v>
      </c>
    </row>
    <row r="102" spans="2:10">
      <c r="C102" s="7" t="s">
        <v>45</v>
      </c>
      <c r="D102" s="8">
        <v>535.82600000000002</v>
      </c>
      <c r="E102" s="8">
        <v>533.49099999999999</v>
      </c>
      <c r="F102" s="8">
        <v>532.50800000000004</v>
      </c>
      <c r="G102" s="9">
        <f t="shared" ref="G102:G109" si="4">AVERAGE(D102:F102)</f>
        <v>533.94166666666672</v>
      </c>
      <c r="H102" s="10">
        <f t="shared" ref="H102:H109" si="5">MAX(D102:F102)</f>
        <v>535.82600000000002</v>
      </c>
      <c r="I102" s="8">
        <f t="shared" ref="I102:I109" si="6">MIN(D102:F102)</f>
        <v>532.50800000000004</v>
      </c>
      <c r="J102" s="11">
        <f t="shared" ref="J102:J109" si="7">_xlfn.STDEV.P(D102:F102)</f>
        <v>1.391547420040804</v>
      </c>
    </row>
    <row r="103" spans="2:10">
      <c r="C103" s="7" t="s">
        <v>46</v>
      </c>
      <c r="D103" s="8">
        <v>528.91099999999994</v>
      </c>
      <c r="E103" s="8">
        <v>530.63900000000001</v>
      </c>
      <c r="F103" s="8">
        <v>531.79700000000003</v>
      </c>
      <c r="G103" s="9">
        <f t="shared" si="4"/>
        <v>530.44899999999996</v>
      </c>
      <c r="H103" s="10">
        <f t="shared" si="5"/>
        <v>531.79700000000003</v>
      </c>
      <c r="I103" s="8">
        <f t="shared" si="6"/>
        <v>528.91099999999994</v>
      </c>
      <c r="J103" s="11">
        <f t="shared" si="7"/>
        <v>1.1858397868177983</v>
      </c>
    </row>
    <row r="104" spans="2:10">
      <c r="C104" s="7" t="s">
        <v>93</v>
      </c>
      <c r="D104" s="8">
        <v>89219</v>
      </c>
      <c r="E104" s="8">
        <v>89301.5</v>
      </c>
      <c r="F104" s="8">
        <v>89386.2</v>
      </c>
      <c r="G104" s="9">
        <f t="shared" si="4"/>
        <v>89302.233333333337</v>
      </c>
      <c r="H104" s="10">
        <f t="shared" si="5"/>
        <v>89386.2</v>
      </c>
      <c r="I104" s="8">
        <f t="shared" si="6"/>
        <v>89219</v>
      </c>
      <c r="J104" s="11">
        <f t="shared" si="7"/>
        <v>68.261083756086038</v>
      </c>
    </row>
    <row r="105" spans="2:10">
      <c r="C105" s="7" t="s">
        <v>94</v>
      </c>
      <c r="D105" s="8">
        <v>79911.899999999994</v>
      </c>
      <c r="E105" s="8">
        <v>79614.3</v>
      </c>
      <c r="F105" s="8">
        <v>79814.5</v>
      </c>
      <c r="G105" s="9">
        <f t="shared" si="4"/>
        <v>79780.233333333337</v>
      </c>
      <c r="H105" s="10">
        <f t="shared" si="5"/>
        <v>79911.899999999994</v>
      </c>
      <c r="I105" s="8">
        <f t="shared" si="6"/>
        <v>79614.3</v>
      </c>
      <c r="J105" s="11">
        <f t="shared" si="7"/>
        <v>123.8872964521439</v>
      </c>
    </row>
    <row r="106" spans="2:10">
      <c r="C106" s="7" t="s">
        <v>49</v>
      </c>
      <c r="D106" s="8">
        <v>493.71</v>
      </c>
      <c r="E106" s="8">
        <v>487.834</v>
      </c>
      <c r="F106" s="8">
        <v>495.81</v>
      </c>
      <c r="G106" s="12">
        <f t="shared" si="4"/>
        <v>492.45133333333337</v>
      </c>
      <c r="H106" s="10">
        <f t="shared" si="5"/>
        <v>495.81</v>
      </c>
      <c r="I106" s="8">
        <f t="shared" si="6"/>
        <v>487.834</v>
      </c>
      <c r="J106" s="11">
        <f t="shared" si="7"/>
        <v>3.3756308381627771</v>
      </c>
    </row>
    <row r="107" spans="2:10">
      <c r="C107" s="7" t="s">
        <v>50</v>
      </c>
      <c r="D107" s="8">
        <v>520.53800000000001</v>
      </c>
      <c r="E107" s="8">
        <v>502.07</v>
      </c>
      <c r="F107" s="8">
        <v>489.68099999999998</v>
      </c>
      <c r="G107" s="12">
        <f t="shared" si="4"/>
        <v>504.09633333333335</v>
      </c>
      <c r="H107" s="10">
        <f t="shared" si="5"/>
        <v>520.53800000000001</v>
      </c>
      <c r="I107" s="8">
        <f t="shared" si="6"/>
        <v>489.68099999999998</v>
      </c>
      <c r="J107" s="11">
        <f t="shared" si="7"/>
        <v>12.678541775596901</v>
      </c>
    </row>
    <row r="108" spans="2:10">
      <c r="C108" s="7" t="s">
        <v>95</v>
      </c>
      <c r="D108" s="23">
        <v>10028.799999999999</v>
      </c>
      <c r="E108" s="8">
        <v>10050</v>
      </c>
      <c r="F108" s="8">
        <v>10042.200000000001</v>
      </c>
      <c r="G108" s="12">
        <f t="shared" si="4"/>
        <v>10040.333333333334</v>
      </c>
      <c r="H108" s="10">
        <f t="shared" si="5"/>
        <v>10050</v>
      </c>
      <c r="I108" s="8">
        <f t="shared" si="6"/>
        <v>10028.799999999999</v>
      </c>
      <c r="J108" s="11">
        <f t="shared" si="7"/>
        <v>8.7549351162013416</v>
      </c>
    </row>
    <row r="109" spans="2:10" ht="15.75" thickBot="1">
      <c r="C109" s="13" t="s">
        <v>96</v>
      </c>
      <c r="D109" s="14">
        <v>32576.2</v>
      </c>
      <c r="E109" s="14">
        <v>32558.799999999999</v>
      </c>
      <c r="F109" s="14">
        <v>32587.4</v>
      </c>
      <c r="G109" s="15">
        <f t="shared" si="4"/>
        <v>32574.133333333331</v>
      </c>
      <c r="H109" s="16">
        <f t="shared" si="5"/>
        <v>32587.4</v>
      </c>
      <c r="I109" s="14">
        <f t="shared" si="6"/>
        <v>32558.799999999999</v>
      </c>
      <c r="J109" s="17">
        <f t="shared" si="7"/>
        <v>11.766997162498321</v>
      </c>
    </row>
    <row r="111" spans="2:10" hidden="1">
      <c r="B111" s="31" t="s">
        <v>36</v>
      </c>
      <c r="C111" s="3" t="s">
        <v>58</v>
      </c>
      <c r="D111" s="281" t="s">
        <v>62</v>
      </c>
      <c r="E111" s="282"/>
      <c r="F111" s="282"/>
      <c r="G111" s="282"/>
      <c r="H111" s="282"/>
      <c r="I111" s="282"/>
      <c r="J111" s="283"/>
    </row>
    <row r="112" spans="2:10" hidden="1">
      <c r="B112" s="31" t="s">
        <v>38</v>
      </c>
      <c r="C112" s="4" t="s">
        <v>4</v>
      </c>
      <c r="D112" s="278" t="str">
        <f>CONCATENATE('1Z_Performance'!AC12,"_1GB")</f>
        <v>A0026DHS_1GB</v>
      </c>
      <c r="E112" s="279"/>
      <c r="F112" s="279"/>
      <c r="G112" s="279"/>
      <c r="H112" s="279"/>
      <c r="I112" s="279"/>
      <c r="J112" s="280"/>
    </row>
    <row r="113" spans="3:10" hidden="1">
      <c r="C113" s="4" t="s">
        <v>5</v>
      </c>
      <c r="D113" s="5" t="s">
        <v>6</v>
      </c>
      <c r="E113" s="5" t="s">
        <v>7</v>
      </c>
      <c r="F113" s="5" t="s">
        <v>8</v>
      </c>
      <c r="G113" s="5" t="s">
        <v>9</v>
      </c>
      <c r="H113" s="5" t="s">
        <v>10</v>
      </c>
      <c r="I113" s="5" t="s">
        <v>11</v>
      </c>
      <c r="J113" s="6" t="s">
        <v>12</v>
      </c>
    </row>
    <row r="114" spans="3:10" hidden="1">
      <c r="C114" s="7" t="s">
        <v>13</v>
      </c>
      <c r="D114" s="8">
        <v>517.13400000000001</v>
      </c>
      <c r="E114" s="8">
        <v>520.55700000000002</v>
      </c>
      <c r="F114" s="8">
        <v>519.61099999999999</v>
      </c>
      <c r="G114" s="9">
        <v>519.10066666666671</v>
      </c>
      <c r="H114" s="10">
        <v>520.55700000000002</v>
      </c>
      <c r="I114" s="8">
        <v>517.13400000000001</v>
      </c>
      <c r="J114" s="11">
        <v>1.443274594647723</v>
      </c>
    </row>
    <row r="115" spans="3:10" hidden="1">
      <c r="C115" s="7" t="s">
        <v>14</v>
      </c>
      <c r="D115" s="8">
        <v>518.24199999999996</v>
      </c>
      <c r="E115" s="8">
        <v>518.49800000000005</v>
      </c>
      <c r="F115" s="8">
        <v>518.49800000000005</v>
      </c>
      <c r="G115" s="9">
        <v>518.41266666666672</v>
      </c>
      <c r="H115" s="10">
        <v>518.49800000000005</v>
      </c>
      <c r="I115" s="8">
        <v>518.24199999999996</v>
      </c>
      <c r="J115" s="11">
        <v>0.12067955732254441</v>
      </c>
    </row>
    <row r="116" spans="3:10" hidden="1">
      <c r="C116" s="7" t="s">
        <v>15</v>
      </c>
      <c r="D116" s="8">
        <v>373.74599999999998</v>
      </c>
      <c r="E116" s="8">
        <v>358.755</v>
      </c>
      <c r="F116" s="8">
        <v>345.62700000000001</v>
      </c>
      <c r="G116" s="9">
        <v>359.37599999999998</v>
      </c>
      <c r="H116" s="10">
        <v>373.74599999999998</v>
      </c>
      <c r="I116" s="8">
        <v>345.62700000000001</v>
      </c>
      <c r="J116" s="11">
        <v>11.487929056187618</v>
      </c>
    </row>
    <row r="117" spans="3:10" hidden="1">
      <c r="C117" s="7" t="s">
        <v>16</v>
      </c>
      <c r="D117" s="8">
        <v>508.78100000000001</v>
      </c>
      <c r="E117" s="8">
        <v>510.05200000000002</v>
      </c>
      <c r="F117" s="8">
        <v>509.76100000000002</v>
      </c>
      <c r="G117" s="9">
        <v>509.53133333333335</v>
      </c>
      <c r="H117" s="10">
        <v>510.05200000000002</v>
      </c>
      <c r="I117" s="8">
        <v>508.78100000000001</v>
      </c>
      <c r="J117" s="11">
        <v>0.54370355484911403</v>
      </c>
    </row>
    <row r="118" spans="3:10" hidden="1">
      <c r="C118" s="7" t="s">
        <v>17</v>
      </c>
      <c r="D118" s="8">
        <v>9891.7000000000007</v>
      </c>
      <c r="E118" s="8">
        <v>9885.1</v>
      </c>
      <c r="F118" s="8">
        <v>9893.6</v>
      </c>
      <c r="G118" s="12">
        <v>9890.1333333333332</v>
      </c>
      <c r="H118" s="10">
        <v>9893.6</v>
      </c>
      <c r="I118" s="8">
        <v>9885.1</v>
      </c>
      <c r="J118" s="11">
        <v>3.6426486090328929</v>
      </c>
    </row>
    <row r="119" spans="3:10" hidden="1">
      <c r="C119" s="7" t="s">
        <v>18</v>
      </c>
      <c r="D119" s="8">
        <v>29858.5</v>
      </c>
      <c r="E119" s="8">
        <v>29783.5</v>
      </c>
      <c r="F119" s="8">
        <v>29845</v>
      </c>
      <c r="G119" s="12">
        <v>29829</v>
      </c>
      <c r="H119" s="10">
        <v>29858.5</v>
      </c>
      <c r="I119" s="8">
        <v>29783.5</v>
      </c>
      <c r="J119" s="11">
        <v>32.641997487898927</v>
      </c>
    </row>
    <row r="120" spans="3:10" hidden="1">
      <c r="C120" s="7" t="s">
        <v>19</v>
      </c>
      <c r="D120" s="25">
        <v>85759.5</v>
      </c>
      <c r="E120" s="8">
        <v>85764</v>
      </c>
      <c r="F120" s="8">
        <v>84055.4</v>
      </c>
      <c r="G120" s="12">
        <v>85192.96666666666</v>
      </c>
      <c r="H120" s="10">
        <v>85764</v>
      </c>
      <c r="I120" s="8">
        <v>84055.4</v>
      </c>
      <c r="J120" s="11">
        <v>804.3832019352219</v>
      </c>
    </row>
    <row r="121" spans="3:10" ht="15.75" hidden="1" thickBot="1">
      <c r="C121" s="13" t="s">
        <v>20</v>
      </c>
      <c r="D121" s="14">
        <v>68629.600000000006</v>
      </c>
      <c r="E121" s="14">
        <v>67360.600000000006</v>
      </c>
      <c r="F121" s="14">
        <v>68013.100000000006</v>
      </c>
      <c r="G121" s="15">
        <v>68001.100000000006</v>
      </c>
      <c r="H121" s="16">
        <v>68629.600000000006</v>
      </c>
      <c r="I121" s="14">
        <v>67360.600000000006</v>
      </c>
      <c r="J121" s="17">
        <v>518.13656500965067</v>
      </c>
    </row>
    <row r="122" spans="3:10" hidden="1"/>
    <row r="123" spans="3:10" hidden="1"/>
  </sheetData>
  <mergeCells count="21">
    <mergeCell ref="D111:J111"/>
    <mergeCell ref="D112:J112"/>
    <mergeCell ref="B3:B4"/>
    <mergeCell ref="D51:J51"/>
    <mergeCell ref="D52:J52"/>
    <mergeCell ref="D40:J40"/>
    <mergeCell ref="D3:J3"/>
    <mergeCell ref="D4:J4"/>
    <mergeCell ref="D27:J27"/>
    <mergeCell ref="D28:J28"/>
    <mergeCell ref="D39:J39"/>
    <mergeCell ref="D15:J15"/>
    <mergeCell ref="D16:J16"/>
    <mergeCell ref="D87:J87"/>
    <mergeCell ref="D88:J88"/>
    <mergeCell ref="D99:J99"/>
    <mergeCell ref="D100:J100"/>
    <mergeCell ref="D63:J63"/>
    <mergeCell ref="D64:J64"/>
    <mergeCell ref="D75:J75"/>
    <mergeCell ref="D76:J76"/>
  </mergeCells>
  <phoneticPr fontId="26" type="noConversion"/>
  <pageMargins left="0.7" right="0.7" top="0.75" bottom="0.75" header="0.3" footer="0.3"/>
  <pageSetup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theme="7"/>
  </sheetPr>
  <dimension ref="B1:BC45"/>
  <sheetViews>
    <sheetView showGridLines="0" topLeftCell="A3" zoomScale="86" zoomScaleNormal="85" workbookViewId="0">
      <selection activeCell="AA37" sqref="AA37"/>
    </sheetView>
  </sheetViews>
  <sheetFormatPr defaultColWidth="9.140625" defaultRowHeight="12.75"/>
  <cols>
    <col min="1" max="1" width="4.7109375" style="1" customWidth="1"/>
    <col min="2" max="2" width="20.140625" style="1" customWidth="1"/>
    <col min="3" max="3" width="49.28515625" style="1" bestFit="1" customWidth="1"/>
    <col min="4" max="4" width="12.7109375" style="1" hidden="1" customWidth="1"/>
    <col min="5" max="5" width="10.140625" style="1" hidden="1" customWidth="1"/>
    <col min="6" max="6" width="10.5703125" style="1" hidden="1" customWidth="1"/>
    <col min="7" max="7" width="12.7109375" style="1" hidden="1" customWidth="1"/>
    <col min="8" max="8" width="10.140625" style="1" hidden="1" customWidth="1"/>
    <col min="9" max="9" width="10.5703125" style="1" hidden="1" customWidth="1"/>
    <col min="10" max="10" width="12.7109375" style="1" hidden="1" customWidth="1"/>
    <col min="11" max="11" width="10.140625" style="1" hidden="1" customWidth="1"/>
    <col min="12" max="12" width="10.5703125" style="1" hidden="1" customWidth="1"/>
    <col min="13" max="13" width="12.7109375" style="1" hidden="1" customWidth="1"/>
    <col min="14" max="14" width="10.140625" style="1" hidden="1" customWidth="1"/>
    <col min="15" max="15" width="10.5703125" style="1" hidden="1" customWidth="1"/>
    <col min="16" max="16" width="14.42578125" style="1" hidden="1" customWidth="1"/>
    <col min="17" max="17" width="11.7109375" style="1" hidden="1" customWidth="1"/>
    <col min="18" max="18" width="1.85546875" style="1" hidden="1" customWidth="1"/>
    <col min="19" max="20" width="25.42578125" style="1" hidden="1" customWidth="1"/>
    <col min="21" max="21" width="14.5703125" style="1" hidden="1" customWidth="1"/>
    <col min="22" max="23" width="29.28515625" style="1" hidden="1" customWidth="1"/>
    <col min="24" max="24" width="20.42578125" style="1" hidden="1" customWidth="1"/>
    <col min="25" max="26" width="30.85546875" style="1" customWidth="1"/>
    <col min="27" max="27" width="23.42578125" style="1" customWidth="1"/>
    <col min="28" max="29" width="29.28515625" style="1" hidden="1" customWidth="1"/>
    <col min="30" max="30" width="23.42578125" style="1" hidden="1" customWidth="1"/>
    <col min="31" max="31" width="34.42578125" style="1" hidden="1" customWidth="1"/>
    <col min="32" max="32" width="28.7109375" style="1" hidden="1" customWidth="1"/>
    <col min="33" max="33" width="13.7109375" style="1" hidden="1" customWidth="1"/>
    <col min="34" max="34" width="23" style="1" hidden="1" customWidth="1"/>
    <col min="35" max="35" width="17.5703125" style="1" hidden="1" customWidth="1"/>
    <col min="36" max="36" width="13.7109375" style="1" hidden="1" customWidth="1"/>
    <col min="37" max="37" width="23" style="1" hidden="1" customWidth="1"/>
    <col min="38" max="38" width="17.5703125" style="1" hidden="1" customWidth="1"/>
    <col min="39" max="39" width="13.7109375" style="1" hidden="1" customWidth="1"/>
    <col min="40" max="40" width="23" style="1" hidden="1" customWidth="1"/>
    <col min="41" max="41" width="17.5703125" style="1" hidden="1" customWidth="1"/>
    <col min="42" max="42" width="13.7109375" style="1" hidden="1" customWidth="1"/>
    <col min="43" max="43" width="23" style="1" hidden="1" customWidth="1"/>
    <col min="44" max="44" width="17.5703125" style="1" hidden="1" customWidth="1"/>
    <col min="45" max="45" width="13.7109375" style="1" hidden="1" customWidth="1"/>
    <col min="46" max="46" width="23" style="1" hidden="1" customWidth="1"/>
    <col min="47" max="47" width="17.5703125" style="1" hidden="1" customWidth="1"/>
    <col min="48" max="48" width="0.85546875" style="1" hidden="1" customWidth="1"/>
    <col min="49" max="49" width="9.140625" style="1" customWidth="1"/>
    <col min="50" max="16384" width="9.140625" style="1"/>
  </cols>
  <sheetData>
    <row r="1" spans="2:55" ht="12.75" customHeight="1"/>
    <row r="2" spans="2:55" ht="23.25">
      <c r="B2" s="338" t="s">
        <v>236</v>
      </c>
      <c r="C2" s="338"/>
      <c r="D2" s="64"/>
      <c r="E2" s="64"/>
      <c r="G2" s="64"/>
      <c r="H2" s="64"/>
      <c r="AH2" s="64"/>
      <c r="AI2" s="64"/>
      <c r="AK2" s="64"/>
      <c r="AL2" s="64"/>
    </row>
    <row r="3" spans="2:55" ht="14.25" customHeight="1">
      <c r="B3" s="339"/>
      <c r="C3" s="339"/>
      <c r="W3" s="65"/>
      <c r="AO3" s="65"/>
    </row>
    <row r="4" spans="2:55" ht="30.75" customHeight="1">
      <c r="B4" s="340" t="s">
        <v>159</v>
      </c>
      <c r="C4" s="341"/>
      <c r="D4" s="236"/>
      <c r="E4" s="237"/>
      <c r="F4" s="237"/>
      <c r="G4" s="237"/>
      <c r="H4" s="237"/>
      <c r="I4" s="237"/>
      <c r="J4" s="237"/>
      <c r="K4" s="237"/>
      <c r="L4" s="237"/>
      <c r="M4" s="237"/>
      <c r="N4" s="237"/>
      <c r="O4" s="237"/>
      <c r="P4" s="237"/>
      <c r="Q4" s="237"/>
      <c r="R4" s="237"/>
      <c r="S4" s="237"/>
      <c r="T4" s="237"/>
      <c r="U4" s="237"/>
      <c r="V4" s="369" t="s">
        <v>217</v>
      </c>
      <c r="W4" s="369"/>
      <c r="X4" s="369"/>
      <c r="Y4" s="248" t="s">
        <v>248</v>
      </c>
      <c r="Z4" s="248" t="s">
        <v>242</v>
      </c>
      <c r="AA4" s="237"/>
      <c r="AB4" s="369" t="s">
        <v>230</v>
      </c>
      <c r="AC4" s="369"/>
      <c r="AD4" s="369"/>
      <c r="AE4" s="237"/>
      <c r="AF4" s="237"/>
      <c r="AG4" s="237"/>
      <c r="AH4" s="237"/>
      <c r="AI4" s="237"/>
      <c r="AJ4" s="237"/>
      <c r="AK4" s="237"/>
      <c r="AL4" s="237"/>
      <c r="AM4" s="237"/>
      <c r="AN4" s="237"/>
      <c r="AO4" s="237"/>
      <c r="AP4" s="237"/>
      <c r="AQ4" s="237"/>
      <c r="AR4" s="237"/>
      <c r="AS4" s="237"/>
      <c r="AT4" s="237"/>
      <c r="AU4" s="237"/>
      <c r="AV4" s="238"/>
      <c r="AW4" s="227"/>
    </row>
    <row r="5" spans="2:55" ht="14.25" hidden="1" customHeight="1">
      <c r="B5" s="332" t="s">
        <v>157</v>
      </c>
      <c r="C5" s="333"/>
      <c r="D5" s="143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368" t="s">
        <v>182</v>
      </c>
      <c r="T5" s="368"/>
      <c r="U5" s="368"/>
      <c r="V5" s="368"/>
      <c r="W5" s="368"/>
      <c r="X5" s="368"/>
      <c r="Y5" s="368"/>
      <c r="Z5" s="368"/>
      <c r="AA5" s="368"/>
      <c r="AB5" s="368"/>
      <c r="AC5" s="368"/>
      <c r="AD5" s="368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5"/>
    </row>
    <row r="6" spans="2:55" ht="14.25" hidden="1" customHeight="1">
      <c r="B6" s="322" t="s">
        <v>157</v>
      </c>
      <c r="C6" s="329"/>
      <c r="D6" s="354" t="s">
        <v>29</v>
      </c>
      <c r="E6" s="355"/>
      <c r="F6" s="355"/>
      <c r="G6" s="355"/>
      <c r="H6" s="355"/>
      <c r="I6" s="356"/>
      <c r="J6" s="366" t="s">
        <v>130</v>
      </c>
      <c r="K6" s="366"/>
      <c r="L6" s="366"/>
      <c r="M6" s="366"/>
      <c r="N6" s="366"/>
      <c r="O6" s="367"/>
      <c r="P6" s="146"/>
      <c r="Q6" s="146"/>
      <c r="R6" s="146"/>
      <c r="S6" s="146"/>
      <c r="T6" s="146"/>
      <c r="U6" s="146"/>
      <c r="V6" s="146"/>
      <c r="W6" s="146"/>
      <c r="X6" s="146"/>
      <c r="Y6" s="146" t="s">
        <v>181</v>
      </c>
      <c r="Z6" s="146"/>
      <c r="AA6" s="146"/>
      <c r="AB6" s="146"/>
      <c r="AC6" s="146"/>
      <c r="AD6" s="146"/>
      <c r="AE6" s="146"/>
      <c r="AF6" s="146"/>
      <c r="AG6" s="146"/>
      <c r="AH6" s="379" t="s">
        <v>69</v>
      </c>
      <c r="AI6" s="380"/>
      <c r="AJ6" s="380"/>
      <c r="AK6" s="380"/>
      <c r="AL6" s="380"/>
      <c r="AM6" s="381"/>
      <c r="AN6" s="376" t="s">
        <v>27</v>
      </c>
      <c r="AO6" s="377"/>
      <c r="AP6" s="377"/>
      <c r="AQ6" s="377"/>
      <c r="AR6" s="377"/>
      <c r="AS6" s="378"/>
      <c r="AT6" s="370" t="s">
        <v>123</v>
      </c>
      <c r="AU6" s="371"/>
      <c r="AV6" s="372"/>
    </row>
    <row r="7" spans="2:55" ht="15" customHeight="1">
      <c r="B7" s="322" t="s">
        <v>158</v>
      </c>
      <c r="C7" s="329"/>
      <c r="D7" s="357" t="s">
        <v>152</v>
      </c>
      <c r="E7" s="358"/>
      <c r="F7" s="358"/>
      <c r="G7" s="358"/>
      <c r="H7" s="358"/>
      <c r="I7" s="359"/>
      <c r="J7" s="304" t="s">
        <v>153</v>
      </c>
      <c r="K7" s="304"/>
      <c r="L7" s="304"/>
      <c r="M7" s="304"/>
      <c r="N7" s="304"/>
      <c r="O7" s="305"/>
      <c r="P7" s="306" t="s">
        <v>154</v>
      </c>
      <c r="Q7" s="307"/>
      <c r="R7" s="308"/>
      <c r="S7" s="290" t="s">
        <v>160</v>
      </c>
      <c r="T7" s="291"/>
      <c r="U7" s="292"/>
      <c r="V7" s="363" t="s">
        <v>213</v>
      </c>
      <c r="W7" s="364"/>
      <c r="X7" s="365"/>
      <c r="Y7" s="287" t="s">
        <v>234</v>
      </c>
      <c r="Z7" s="288"/>
      <c r="AA7" s="289"/>
      <c r="AB7" s="360" t="s">
        <v>234</v>
      </c>
      <c r="AC7" s="361"/>
      <c r="AD7" s="362"/>
      <c r="AE7" s="345" t="s">
        <v>155</v>
      </c>
      <c r="AF7" s="346"/>
      <c r="AG7" s="347"/>
      <c r="AH7" s="373" t="s">
        <v>152</v>
      </c>
      <c r="AI7" s="374"/>
      <c r="AJ7" s="374"/>
      <c r="AK7" s="374"/>
      <c r="AL7" s="374"/>
      <c r="AM7" s="375"/>
      <c r="AN7" s="293" t="s">
        <v>153</v>
      </c>
      <c r="AO7" s="294"/>
      <c r="AP7" s="294"/>
      <c r="AQ7" s="294"/>
      <c r="AR7" s="294"/>
      <c r="AS7" s="295"/>
      <c r="AT7" s="342" t="s">
        <v>156</v>
      </c>
      <c r="AU7" s="343"/>
      <c r="AV7" s="344"/>
    </row>
    <row r="8" spans="2:55" ht="12" hidden="1" customHeight="1">
      <c r="B8" s="285" t="s">
        <v>118</v>
      </c>
      <c r="C8" s="286"/>
      <c r="D8" s="112"/>
      <c r="E8" s="113"/>
      <c r="F8" s="113"/>
      <c r="G8" s="113"/>
      <c r="H8" s="113"/>
      <c r="I8" s="114"/>
      <c r="J8" s="223"/>
      <c r="K8" s="223"/>
      <c r="L8" s="223"/>
      <c r="M8" s="223"/>
      <c r="N8" s="223"/>
      <c r="O8" s="223"/>
      <c r="P8" s="306" t="s">
        <v>122</v>
      </c>
      <c r="Q8" s="307"/>
      <c r="R8" s="308"/>
      <c r="S8" s="225"/>
      <c r="T8" s="225"/>
      <c r="U8" s="225"/>
      <c r="V8" s="116"/>
      <c r="W8" s="116"/>
      <c r="X8" s="116"/>
      <c r="Y8" s="240"/>
      <c r="Z8" s="240"/>
      <c r="AA8" s="239"/>
      <c r="AB8" s="115"/>
      <c r="AC8" s="115"/>
      <c r="AD8" s="115"/>
      <c r="AE8" s="348" t="s">
        <v>119</v>
      </c>
      <c r="AF8" s="349"/>
      <c r="AG8" s="350"/>
      <c r="AH8" s="351" t="s">
        <v>120</v>
      </c>
      <c r="AI8" s="351"/>
      <c r="AJ8" s="351"/>
      <c r="AK8" s="351"/>
      <c r="AL8" s="351"/>
      <c r="AM8" s="351"/>
      <c r="AN8" s="352" t="s">
        <v>121</v>
      </c>
      <c r="AO8" s="352"/>
      <c r="AP8" s="352"/>
      <c r="AQ8" s="352"/>
      <c r="AR8" s="352"/>
      <c r="AS8" s="353"/>
      <c r="AT8" s="228"/>
      <c r="AU8" s="228"/>
      <c r="AV8" s="229"/>
    </row>
    <row r="9" spans="2:55" ht="31.5" customHeight="1">
      <c r="B9" s="320" t="s">
        <v>124</v>
      </c>
      <c r="C9" s="321"/>
      <c r="D9" s="324">
        <v>182486620006</v>
      </c>
      <c r="E9" s="325"/>
      <c r="F9" s="325"/>
      <c r="G9" s="324">
        <v>182486620031</v>
      </c>
      <c r="H9" s="325"/>
      <c r="I9" s="337"/>
      <c r="J9" s="326">
        <v>182486620004</v>
      </c>
      <c r="K9" s="326"/>
      <c r="L9" s="326"/>
      <c r="M9" s="327">
        <v>182486620052</v>
      </c>
      <c r="N9" s="326"/>
      <c r="O9" s="328"/>
      <c r="P9" s="301">
        <v>183900000005</v>
      </c>
      <c r="Q9" s="302"/>
      <c r="R9" s="303"/>
      <c r="S9" s="309" t="s">
        <v>183</v>
      </c>
      <c r="T9" s="310"/>
      <c r="U9" s="311"/>
      <c r="V9" s="312" t="s">
        <v>218</v>
      </c>
      <c r="W9" s="313"/>
      <c r="X9" s="314"/>
      <c r="Y9" s="246" t="s">
        <v>249</v>
      </c>
      <c r="Z9" s="247" t="s">
        <v>243</v>
      </c>
      <c r="AA9" s="249"/>
      <c r="AB9" s="315" t="s">
        <v>233</v>
      </c>
      <c r="AC9" s="316"/>
      <c r="AD9" s="317"/>
      <c r="AE9" s="345">
        <v>190249620122</v>
      </c>
      <c r="AF9" s="346"/>
      <c r="AG9" s="347"/>
      <c r="AH9" s="296">
        <v>182486620006</v>
      </c>
      <c r="AI9" s="297"/>
      <c r="AJ9" s="298"/>
      <c r="AK9" s="296">
        <v>182486620004</v>
      </c>
      <c r="AL9" s="297"/>
      <c r="AM9" s="298"/>
      <c r="AN9" s="293">
        <v>182486620066</v>
      </c>
      <c r="AO9" s="294"/>
      <c r="AP9" s="294"/>
      <c r="AQ9" s="293">
        <v>181927620244</v>
      </c>
      <c r="AR9" s="294"/>
      <c r="AS9" s="295"/>
      <c r="AT9" s="342"/>
      <c r="AU9" s="343"/>
      <c r="AV9" s="344"/>
    </row>
    <row r="10" spans="2:55" ht="4.5" hidden="1" customHeight="1">
      <c r="B10" s="322" t="s">
        <v>35</v>
      </c>
      <c r="C10" s="323"/>
      <c r="D10" s="324"/>
      <c r="E10" s="325"/>
      <c r="F10" s="325"/>
      <c r="G10" s="325"/>
      <c r="H10" s="220"/>
      <c r="I10" s="222"/>
      <c r="J10" s="220"/>
      <c r="K10" s="220"/>
      <c r="L10" s="220"/>
      <c r="M10" s="220"/>
      <c r="N10" s="220"/>
      <c r="O10" s="220"/>
      <c r="P10" s="302">
        <v>360</v>
      </c>
      <c r="Q10" s="302"/>
      <c r="R10" s="303"/>
      <c r="S10" s="220"/>
      <c r="T10" s="220"/>
      <c r="U10" s="220"/>
      <c r="V10" s="220"/>
      <c r="W10" s="220"/>
      <c r="X10" s="220"/>
      <c r="Y10" s="219"/>
      <c r="Z10" s="219" t="s">
        <v>204</v>
      </c>
      <c r="AA10" s="219"/>
      <c r="AB10" s="117"/>
      <c r="AC10" s="117"/>
      <c r="AD10" s="117"/>
      <c r="AE10" s="299"/>
      <c r="AF10" s="299"/>
      <c r="AG10" s="300"/>
      <c r="AH10" s="296"/>
      <c r="AI10" s="297"/>
      <c r="AJ10" s="297"/>
      <c r="AK10" s="297"/>
      <c r="AL10" s="219"/>
      <c r="AM10" s="219"/>
      <c r="AN10" s="293">
        <v>2514871</v>
      </c>
      <c r="AO10" s="294"/>
      <c r="AP10" s="294"/>
      <c r="AQ10" s="294"/>
      <c r="AR10" s="294"/>
      <c r="AS10" s="295"/>
      <c r="AT10" s="228"/>
      <c r="AU10" s="228"/>
      <c r="AV10" s="229"/>
    </row>
    <row r="11" spans="2:55" ht="90">
      <c r="B11" s="322" t="s">
        <v>151</v>
      </c>
      <c r="C11" s="323"/>
      <c r="D11" s="118" t="s">
        <v>133</v>
      </c>
      <c r="E11" s="118" t="s">
        <v>132</v>
      </c>
      <c r="F11" s="118"/>
      <c r="G11" s="118" t="str">
        <f>D11</f>
        <v>venus3-fw-fwcode-static-regression2-3542</v>
      </c>
      <c r="H11" s="118" t="str">
        <f>E11</f>
        <v>venus3-fw-fwcode-dev-3580</v>
      </c>
      <c r="I11" s="118"/>
      <c r="J11" s="221" t="str">
        <f>D11</f>
        <v>venus3-fw-fwcode-static-regression2-3542</v>
      </c>
      <c r="K11" s="119" t="str">
        <f>E11</f>
        <v>venus3-fw-fwcode-dev-3580</v>
      </c>
      <c r="L11" s="119"/>
      <c r="M11" s="119" t="str">
        <f>D11</f>
        <v>venus3-fw-fwcode-static-regression2-3542</v>
      </c>
      <c r="N11" s="119" t="str">
        <f>E11</f>
        <v>venus3-fw-fwcode-dev-3580</v>
      </c>
      <c r="O11" s="119"/>
      <c r="P11" s="120" t="s">
        <v>138</v>
      </c>
      <c r="Q11" s="120" t="s">
        <v>136</v>
      </c>
      <c r="R11" s="120"/>
      <c r="S11" s="150"/>
      <c r="T11" s="150" t="s">
        <v>202</v>
      </c>
      <c r="U11" s="118"/>
      <c r="V11" s="242" t="s">
        <v>220</v>
      </c>
      <c r="W11" s="242" t="s">
        <v>219</v>
      </c>
      <c r="X11" s="122"/>
      <c r="Y11" s="243" t="s">
        <v>251</v>
      </c>
      <c r="Z11" s="245" t="s">
        <v>247</v>
      </c>
      <c r="AA11" s="124"/>
      <c r="AB11" s="241" t="s">
        <v>231</v>
      </c>
      <c r="AC11" s="241" t="s">
        <v>232</v>
      </c>
      <c r="AD11" s="121"/>
      <c r="AE11" s="123" t="s">
        <v>145</v>
      </c>
      <c r="AF11" s="123" t="s">
        <v>140</v>
      </c>
      <c r="AG11" s="123"/>
      <c r="AH11" s="124" t="str">
        <f>D11</f>
        <v>venus3-fw-fwcode-static-regression2-3542</v>
      </c>
      <c r="AI11" s="124" t="str">
        <f>E11</f>
        <v>venus3-fw-fwcode-dev-3580</v>
      </c>
      <c r="AJ11" s="124"/>
      <c r="AK11" s="124" t="str">
        <f>D11</f>
        <v>venus3-fw-fwcode-static-regression2-3542</v>
      </c>
      <c r="AL11" s="124" t="str">
        <f>E11</f>
        <v>venus3-fw-fwcode-dev-3580</v>
      </c>
      <c r="AM11" s="124"/>
      <c r="AN11" s="125" t="str">
        <f>D11</f>
        <v>venus3-fw-fwcode-static-regression2-3542</v>
      </c>
      <c r="AO11" s="125" t="str">
        <f>E11</f>
        <v>venus3-fw-fwcode-dev-3580</v>
      </c>
      <c r="AP11" s="125"/>
      <c r="AQ11" s="125" t="str">
        <f>D11</f>
        <v>venus3-fw-fwcode-static-regression2-3542</v>
      </c>
      <c r="AR11" s="125" t="str">
        <f>E11</f>
        <v>venus3-fw-fwcode-dev-3580</v>
      </c>
      <c r="AS11" s="125"/>
      <c r="AT11" s="126" t="str">
        <f>D11</f>
        <v>venus3-fw-fwcode-static-regression2-3542</v>
      </c>
      <c r="AU11" s="126" t="str">
        <f>E11</f>
        <v>venus3-fw-fwcode-dev-3580</v>
      </c>
      <c r="AV11" s="126"/>
      <c r="AZ11" s="244"/>
      <c r="BC11" s="140"/>
    </row>
    <row r="12" spans="2:55" ht="48" customHeight="1">
      <c r="B12" s="322" t="s">
        <v>209</v>
      </c>
      <c r="C12" s="323"/>
      <c r="D12" s="127" t="s">
        <v>134</v>
      </c>
      <c r="E12" s="127" t="s">
        <v>131</v>
      </c>
      <c r="F12" s="127" t="str">
        <f>CONCATENATE("Delta based on ",E11:E12)</f>
        <v>Delta based on A0050AGD</v>
      </c>
      <c r="G12" s="127" t="str">
        <f>CONCATENATE(LEFT(D12,5),"AGS")</f>
        <v>N0690AGS</v>
      </c>
      <c r="H12" s="127" t="str">
        <f>CONCATENATE(LEFT(E12,5),"AGS")</f>
        <v>A0050AGS</v>
      </c>
      <c r="I12" s="127" t="str">
        <f>CONCATENATE("Delta based on ",H11:H12)</f>
        <v>Delta based on A0050AGS</v>
      </c>
      <c r="J12" s="224" t="str">
        <f>CONCATENATE(LEFT(G12,5),"APD")</f>
        <v>N0690APD</v>
      </c>
      <c r="K12" s="128" t="str">
        <f>E12</f>
        <v>A0050AGD</v>
      </c>
      <c r="L12" s="128" t="str">
        <f t="shared" ref="L12" si="0">CONCATENATE("Delta based on ",K11:K12)</f>
        <v>Delta based on A0050AGD</v>
      </c>
      <c r="M12" s="128" t="str">
        <f>CONCATENATE(LEFT(J12,5),"APS")</f>
        <v>N0690APS</v>
      </c>
      <c r="N12" s="128" t="str">
        <f>H12</f>
        <v>A0050AGS</v>
      </c>
      <c r="O12" s="128" t="str">
        <f t="shared" ref="O12" si="1">CONCATENATE("Delta based on ",N11:N12)</f>
        <v>Delta based on A0050AGS</v>
      </c>
      <c r="P12" s="129" t="s">
        <v>137</v>
      </c>
      <c r="Q12" s="129" t="s">
        <v>135</v>
      </c>
      <c r="R12" s="129" t="str">
        <f>CONCATENATE("Delta based on ",Q11:Q12)</f>
        <v>Delta based on A0001BWD</v>
      </c>
      <c r="S12" s="138"/>
      <c r="T12" s="138" t="s">
        <v>201</v>
      </c>
      <c r="U12" s="200" t="s">
        <v>203</v>
      </c>
      <c r="V12" s="142" t="s">
        <v>221</v>
      </c>
      <c r="W12" s="142" t="s">
        <v>222</v>
      </c>
      <c r="X12" s="201" t="s">
        <v>223</v>
      </c>
      <c r="Y12" s="205" t="s">
        <v>250</v>
      </c>
      <c r="Z12" s="205" t="s">
        <v>245</v>
      </c>
      <c r="AA12" s="202" t="s">
        <v>246</v>
      </c>
      <c r="AB12" s="139" t="s">
        <v>227</v>
      </c>
      <c r="AC12" s="139" t="s">
        <v>228</v>
      </c>
      <c r="AD12" s="203" t="s">
        <v>229</v>
      </c>
      <c r="AE12" s="130" t="s">
        <v>144</v>
      </c>
      <c r="AF12" s="130" t="s">
        <v>139</v>
      </c>
      <c r="AG12" s="130" t="s">
        <v>141</v>
      </c>
      <c r="AH12" s="226" t="str">
        <f>CONCATENATE(LEFT(D12,5),"ALD")</f>
        <v>N0690ALD</v>
      </c>
      <c r="AI12" s="226" t="str">
        <f>CONCATENATE(LEFT(E12,5),"ALD")</f>
        <v>A0050ALD</v>
      </c>
      <c r="AJ12" s="226" t="str">
        <f>CONCATENATE("Delta based on ",AI11:AI12)</f>
        <v>Delta based on A0050ALD</v>
      </c>
      <c r="AK12" s="226" t="str">
        <f>CONCATENATE(LEFT(D12,5),"ALS")</f>
        <v>N0690ALS</v>
      </c>
      <c r="AL12" s="226" t="str">
        <f>CONCATENATE(LEFT(AI12,5),"ALS")</f>
        <v>A0050ALS</v>
      </c>
      <c r="AM12" s="226" t="str">
        <f>CONCATENATE("Delta based on ",AL11:AL12)</f>
        <v>Delta based on A0050ALS</v>
      </c>
      <c r="AN12" s="131" t="str">
        <f>CONCATENATE(LEFT(P12,5),"ADD")</f>
        <v>A0002ADD</v>
      </c>
      <c r="AO12" s="131" t="str">
        <f>CONCATENATE(LEFT(E12,5),"ADD")</f>
        <v>A0050ADD</v>
      </c>
      <c r="AP12" s="131" t="str">
        <f>CONCATENATE("Delta based on ",AO11:AO12)</f>
        <v>Delta based on A0050ADD</v>
      </c>
      <c r="AQ12" s="131" t="str">
        <f>CONCATENATE(LEFT(P12,5),"ADS")</f>
        <v>A0002ADS</v>
      </c>
      <c r="AR12" s="131" t="str">
        <f>CONCATENATE(LEFT(AO12,5),"ADS")</f>
        <v>A0050ADS</v>
      </c>
      <c r="AS12" s="131" t="str">
        <f>CONCATENATE("Delta based on ",AR11:AR12)</f>
        <v>Delta based on A0050ADS</v>
      </c>
      <c r="AT12" s="132" t="e">
        <f>CONCATENATE(LEFT(#REF!,5),"ANS")</f>
        <v>#REF!</v>
      </c>
      <c r="AU12" s="132" t="str">
        <f>CONCATENATE(LEFT(E12,5),"ANS")</f>
        <v>A0050ANS</v>
      </c>
      <c r="AV12" s="132" t="str">
        <f>CONCATENATE("Delta based on ",AU11:AU12)</f>
        <v>Delta based on A0050ANS</v>
      </c>
      <c r="AX12" s="204"/>
    </row>
    <row r="13" spans="2:55" ht="18" customHeight="1">
      <c r="B13" s="330" t="s">
        <v>161</v>
      </c>
      <c r="C13" s="133" t="s">
        <v>163</v>
      </c>
      <c r="D13" s="71">
        <f>BICS6_Raw!H18</f>
        <v>0</v>
      </c>
      <c r="E13" s="71">
        <f>BICS6_Reference!H130</f>
        <v>0</v>
      </c>
      <c r="F13" s="75" t="e">
        <f>((D13-E13)/E13)*100</f>
        <v>#DIV/0!</v>
      </c>
      <c r="G13" s="71">
        <f>BICS6_Raw!H30</f>
        <v>0</v>
      </c>
      <c r="H13" s="71">
        <f>BICS6_Reference!H143</f>
        <v>0</v>
      </c>
      <c r="I13" s="75" t="e">
        <f>((G13-H13)/H13)*100</f>
        <v>#DIV/0!</v>
      </c>
      <c r="J13" s="80">
        <f>BICS6_Raw!H231</f>
        <v>0</v>
      </c>
      <c r="K13" s="81">
        <f>E13</f>
        <v>0</v>
      </c>
      <c r="L13" s="82" t="e">
        <f t="shared" ref="L13:L16" si="2">((J13-K13)/K13)*100</f>
        <v>#DIV/0!</v>
      </c>
      <c r="M13" s="81">
        <f>BICS6_Raw!H243</f>
        <v>0</v>
      </c>
      <c r="N13" s="81">
        <f>H13</f>
        <v>0</v>
      </c>
      <c r="O13" s="82" t="e">
        <f t="shared" ref="O13:O16" si="3">((M13-N13)/N13)*100</f>
        <v>#DIV/0!</v>
      </c>
      <c r="P13" s="83">
        <f>BICS6_Raw!H192</f>
        <v>0</v>
      </c>
      <c r="Q13" s="83">
        <f>BICS6_Reference!H205</f>
        <v>0</v>
      </c>
      <c r="R13" s="84" t="e">
        <f>((P13-Q13)/Q13)*100</f>
        <v>#DIV/0!</v>
      </c>
      <c r="S13" s="71">
        <f>BICS6_Raw!$H66</f>
        <v>0</v>
      </c>
      <c r="T13" s="71">
        <f>BICS6_Reference!$H66</f>
        <v>0</v>
      </c>
      <c r="U13" s="75" t="e">
        <f>((S13-T13)/T13)*100</f>
        <v>#DIV/0!</v>
      </c>
      <c r="V13" s="70">
        <f>BICS6_Raw!$H82</f>
        <v>0</v>
      </c>
      <c r="W13" s="70">
        <f>BICS6_Reference!$H82</f>
        <v>0</v>
      </c>
      <c r="X13" s="73" t="e">
        <f>((V13-W13)/W13)*100</f>
        <v>#DIV/0!</v>
      </c>
      <c r="Y13" s="147">
        <f>BICS6_Raw!$H98</f>
        <v>0</v>
      </c>
      <c r="Z13" s="147">
        <f>BICS6_Reference!$H98</f>
        <v>6984.5630000000001</v>
      </c>
      <c r="AA13" s="149">
        <f t="shared" ref="AA13:AA37" si="4">((Y13-Z13)/Z13)*100</f>
        <v>-100</v>
      </c>
      <c r="AB13" s="68">
        <f>BICS6_Raw!$H114</f>
        <v>0</v>
      </c>
      <c r="AC13" s="68">
        <f>BICS6_Reference!$H114</f>
        <v>0</v>
      </c>
      <c r="AD13" s="76" t="e">
        <f>((AB13-AC13)/AC13)*100</f>
        <v>#DIV/0!</v>
      </c>
      <c r="AE13" s="72">
        <f>BICS6_Raw!H114</f>
        <v>0</v>
      </c>
      <c r="AF13" s="72">
        <f>BICS6_Reference!H114</f>
        <v>0</v>
      </c>
      <c r="AG13" s="77" t="e">
        <f>((AE13-AF13)/AF13)*100</f>
        <v>#DIV/0!</v>
      </c>
      <c r="AH13" s="72">
        <f>BICS6_Raw!H42</f>
        <v>0</v>
      </c>
      <c r="AI13" s="72">
        <f>BICS6_Reference!H42</f>
        <v>0</v>
      </c>
      <c r="AJ13" s="77" t="e">
        <f>((AH13-AI13)/AI13)*100</f>
        <v>#DIV/0!</v>
      </c>
      <c r="AK13" s="72">
        <f>BICS6_Raw!H54</f>
        <v>0</v>
      </c>
      <c r="AL13" s="72">
        <f>BICS6_Reference!H54</f>
        <v>0</v>
      </c>
      <c r="AM13" s="77" t="e">
        <f>((AK13-AL13)/AL13)*100</f>
        <v>#DIV/0!</v>
      </c>
      <c r="AN13" s="69">
        <f>BICS6_Raw!H18</f>
        <v>0</v>
      </c>
      <c r="AO13" s="69">
        <f>BICS6_Reference!H18</f>
        <v>0</v>
      </c>
      <c r="AP13" s="51" t="e">
        <f>((AN13-AO13)/AO13)*100</f>
        <v>#DIV/0!</v>
      </c>
      <c r="AQ13" s="69">
        <f>BICS6_Raw!H30</f>
        <v>0</v>
      </c>
      <c r="AR13" s="69">
        <f>BICS6_Reference!H30</f>
        <v>0</v>
      </c>
      <c r="AS13" s="51" t="e">
        <f>((AQ13-AR13)/AR13)*100</f>
        <v>#DIV/0!</v>
      </c>
      <c r="AT13" s="70">
        <f>BICS6_Raw!H6</f>
        <v>0</v>
      </c>
      <c r="AU13" s="70">
        <f>BICS6_Reference!H6</f>
        <v>0</v>
      </c>
      <c r="AV13" s="73" t="e">
        <f>((AT13-AU13)/AU13)*100</f>
        <v>#DIV/0!</v>
      </c>
    </row>
    <row r="14" spans="2:55" ht="18" customHeight="1">
      <c r="B14" s="331"/>
      <c r="C14" s="133" t="s">
        <v>164</v>
      </c>
      <c r="D14" s="71">
        <f>BICS6_Raw!H19</f>
        <v>0</v>
      </c>
      <c r="E14" s="71">
        <f>BICS6_Reference!H131</f>
        <v>0</v>
      </c>
      <c r="F14" s="75" t="e">
        <f t="shared" ref="F14:F16" si="5">((D14-E14)/E14)*100</f>
        <v>#DIV/0!</v>
      </c>
      <c r="G14" s="71">
        <f>BICS6_Raw!H31</f>
        <v>0</v>
      </c>
      <c r="H14" s="71">
        <f>BICS6_Reference!H144</f>
        <v>0</v>
      </c>
      <c r="I14" s="75" t="e">
        <f t="shared" ref="I14:I20" si="6">((G14-H14)/H14)*100</f>
        <v>#DIV/0!</v>
      </c>
      <c r="J14" s="80">
        <f>BICS6_Raw!H232</f>
        <v>0</v>
      </c>
      <c r="K14" s="81">
        <f t="shared" ref="K14:K16" si="7">E14</f>
        <v>0</v>
      </c>
      <c r="L14" s="82" t="e">
        <f t="shared" si="2"/>
        <v>#DIV/0!</v>
      </c>
      <c r="M14" s="81">
        <f>BICS6_Raw!H244</f>
        <v>0</v>
      </c>
      <c r="N14" s="81">
        <f t="shared" ref="N14:N16" si="8">H14</f>
        <v>0</v>
      </c>
      <c r="O14" s="82" t="e">
        <f t="shared" si="3"/>
        <v>#DIV/0!</v>
      </c>
      <c r="P14" s="83">
        <f>BICS6_Raw!H193</f>
        <v>0</v>
      </c>
      <c r="Q14" s="83">
        <f>BICS6_Reference!H206</f>
        <v>0</v>
      </c>
      <c r="R14" s="84" t="e">
        <f t="shared" ref="R14:R16" si="9">((P14-Q14)/Q14)*100</f>
        <v>#DIV/0!</v>
      </c>
      <c r="S14" s="71">
        <f>BICS6_Raw!$H70</f>
        <v>0</v>
      </c>
      <c r="T14" s="71">
        <f>BICS6_Reference!$H70</f>
        <v>0</v>
      </c>
      <c r="U14" s="75" t="e">
        <f t="shared" ref="U14:U37" si="10">((S14-T14)/T14)*100</f>
        <v>#DIV/0!</v>
      </c>
      <c r="V14" s="70">
        <f>BICS6_Raw!$H86</f>
        <v>0</v>
      </c>
      <c r="W14" s="70">
        <f>BICS6_Reference!$H86</f>
        <v>0</v>
      </c>
      <c r="X14" s="73" t="e">
        <f t="shared" ref="X14:X37" si="11">((V14-W14)/W14)*100</f>
        <v>#DIV/0!</v>
      </c>
      <c r="Y14" s="147">
        <f>BICS6_Raw!$H102</f>
        <v>0</v>
      </c>
      <c r="Z14" s="147">
        <f>BICS6_Reference!$H102</f>
        <v>6656.9960000000001</v>
      </c>
      <c r="AA14" s="149">
        <f t="shared" si="4"/>
        <v>-100</v>
      </c>
      <c r="AB14" s="68">
        <f>BICS6_Raw!$H118</f>
        <v>0</v>
      </c>
      <c r="AC14" s="68">
        <f>BICS6_Reference!$H118</f>
        <v>0</v>
      </c>
      <c r="AD14" s="76" t="e">
        <f t="shared" ref="AD14:AD37" si="12">((AB14-AC14)/AC14)*100</f>
        <v>#DIV/0!</v>
      </c>
      <c r="AE14" s="72">
        <f>BICS6_Raw!H115</f>
        <v>0</v>
      </c>
      <c r="AF14" s="72">
        <f>BICS6_Reference!H115</f>
        <v>0</v>
      </c>
      <c r="AG14" s="77" t="e">
        <f t="shared" ref="AG14:AG16" si="13">((AE14-AF14)/AF14)*100</f>
        <v>#DIV/0!</v>
      </c>
      <c r="AH14" s="72">
        <f>BICS6_Raw!H43</f>
        <v>0</v>
      </c>
      <c r="AI14" s="72">
        <f>BICS6_Reference!H43</f>
        <v>0</v>
      </c>
      <c r="AJ14" s="77" t="e">
        <f t="shared" ref="AJ14:AJ20" si="14">((AH14-AI14)/AI14)*100</f>
        <v>#DIV/0!</v>
      </c>
      <c r="AK14" s="72">
        <f>BICS6_Raw!H55</f>
        <v>0</v>
      </c>
      <c r="AL14" s="72">
        <f>BICS6_Reference!H55</f>
        <v>0</v>
      </c>
      <c r="AM14" s="77" t="e">
        <f t="shared" ref="AM14:AM20" si="15">((AK14-AL14)/AL14)*100</f>
        <v>#DIV/0!</v>
      </c>
      <c r="AN14" s="69">
        <f>BICS6_Raw!H19</f>
        <v>0</v>
      </c>
      <c r="AO14" s="69">
        <f>BICS6_Reference!H19</f>
        <v>0</v>
      </c>
      <c r="AP14" s="51" t="e">
        <f t="shared" ref="AP14:AP20" si="16">((AN14-AO14)/AO14)*100</f>
        <v>#DIV/0!</v>
      </c>
      <c r="AQ14" s="69">
        <f>BICS6_Raw!H31</f>
        <v>0</v>
      </c>
      <c r="AR14" s="69">
        <f>BICS6_Reference!H31</f>
        <v>0</v>
      </c>
      <c r="AS14" s="51" t="e">
        <f t="shared" ref="AS14:AS20" si="17">((AQ14-AR14)/AR14)*100</f>
        <v>#DIV/0!</v>
      </c>
      <c r="AT14" s="70">
        <f>BICS6_Raw!H7</f>
        <v>0</v>
      </c>
      <c r="AU14" s="70">
        <f>BICS6_Reference!H7</f>
        <v>0</v>
      </c>
      <c r="AV14" s="73" t="e">
        <f t="shared" ref="AV14:AV20" si="18">((AT14-AU14)/AU14)*100</f>
        <v>#DIV/0!</v>
      </c>
    </row>
    <row r="15" spans="2:55" ht="18" customHeight="1">
      <c r="B15" s="331"/>
      <c r="C15" s="133" t="s">
        <v>239</v>
      </c>
      <c r="D15" s="71">
        <f>BICS6_Raw!H20</f>
        <v>0</v>
      </c>
      <c r="E15" s="71">
        <f>BICS6_Reference!H132</f>
        <v>0</v>
      </c>
      <c r="F15" s="75" t="e">
        <f t="shared" si="5"/>
        <v>#DIV/0!</v>
      </c>
      <c r="G15" s="71">
        <f>BICS6_Raw!H32</f>
        <v>0</v>
      </c>
      <c r="H15" s="71">
        <f>BICS6_Reference!H145</f>
        <v>0</v>
      </c>
      <c r="I15" s="75" t="e">
        <f t="shared" si="6"/>
        <v>#DIV/0!</v>
      </c>
      <c r="J15" s="80">
        <f>BICS6_Raw!H233</f>
        <v>0</v>
      </c>
      <c r="K15" s="81">
        <f t="shared" si="7"/>
        <v>0</v>
      </c>
      <c r="L15" s="82" t="e">
        <f t="shared" si="2"/>
        <v>#DIV/0!</v>
      </c>
      <c r="M15" s="81">
        <f>BICS6_Raw!H245</f>
        <v>0</v>
      </c>
      <c r="N15" s="81">
        <f t="shared" si="8"/>
        <v>0</v>
      </c>
      <c r="O15" s="82" t="e">
        <f t="shared" si="3"/>
        <v>#DIV/0!</v>
      </c>
      <c r="P15" s="83">
        <f>BICS6_Raw!H194</f>
        <v>0</v>
      </c>
      <c r="Q15" s="83">
        <f>BICS6_Reference!H207</f>
        <v>0</v>
      </c>
      <c r="R15" s="84" t="e">
        <f t="shared" si="9"/>
        <v>#DIV/0!</v>
      </c>
      <c r="S15" s="71">
        <f>BICS6_Raw!$H67</f>
        <v>0</v>
      </c>
      <c r="T15" s="71">
        <f>BICS6_Reference!$H67</f>
        <v>0</v>
      </c>
      <c r="U15" s="75" t="e">
        <f t="shared" si="10"/>
        <v>#DIV/0!</v>
      </c>
      <c r="V15" s="70">
        <f>BICS6_Raw!$H83</f>
        <v>0</v>
      </c>
      <c r="W15" s="70">
        <f>BICS6_Reference!$H83</f>
        <v>0</v>
      </c>
      <c r="X15" s="73" t="e">
        <f t="shared" si="11"/>
        <v>#DIV/0!</v>
      </c>
      <c r="Y15" s="147">
        <f>BICS6_Raw!$H99</f>
        <v>0</v>
      </c>
      <c r="Z15" s="147">
        <f>BICS6_Reference!$H99</f>
        <v>6980.9269999999997</v>
      </c>
      <c r="AA15" s="149">
        <f t="shared" si="4"/>
        <v>-100</v>
      </c>
      <c r="AB15" s="68">
        <f>BICS6_Raw!$H115</f>
        <v>0</v>
      </c>
      <c r="AC15" s="68">
        <f>BICS6_Reference!$H115</f>
        <v>0</v>
      </c>
      <c r="AD15" s="76" t="e">
        <f t="shared" si="12"/>
        <v>#DIV/0!</v>
      </c>
      <c r="AE15" s="72">
        <f>BICS6_Raw!H116</f>
        <v>0</v>
      </c>
      <c r="AF15" s="72">
        <f>BICS6_Reference!H116</f>
        <v>0</v>
      </c>
      <c r="AG15" s="77" t="e">
        <f t="shared" si="13"/>
        <v>#DIV/0!</v>
      </c>
      <c r="AH15" s="72">
        <f>BICS6_Raw!H44</f>
        <v>0</v>
      </c>
      <c r="AI15" s="72">
        <f>BICS6_Reference!H44</f>
        <v>0</v>
      </c>
      <c r="AJ15" s="77" t="e">
        <f t="shared" si="14"/>
        <v>#DIV/0!</v>
      </c>
      <c r="AK15" s="72">
        <f>BICS6_Raw!H56</f>
        <v>0</v>
      </c>
      <c r="AL15" s="72">
        <f>BICS6_Reference!H56</f>
        <v>0</v>
      </c>
      <c r="AM15" s="77" t="e">
        <f t="shared" si="15"/>
        <v>#DIV/0!</v>
      </c>
      <c r="AN15" s="69">
        <f>BICS6_Raw!H20</f>
        <v>0</v>
      </c>
      <c r="AO15" s="69">
        <f>BICS6_Reference!H20</f>
        <v>0</v>
      </c>
      <c r="AP15" s="51" t="e">
        <f t="shared" si="16"/>
        <v>#DIV/0!</v>
      </c>
      <c r="AQ15" s="69">
        <f>BICS6_Raw!H32</f>
        <v>0</v>
      </c>
      <c r="AR15" s="69">
        <f>BICS6_Reference!H32</f>
        <v>0</v>
      </c>
      <c r="AS15" s="51" t="e">
        <f t="shared" si="17"/>
        <v>#DIV/0!</v>
      </c>
      <c r="AT15" s="70">
        <f>BICS6_Raw!H8</f>
        <v>0</v>
      </c>
      <c r="AU15" s="70">
        <f>BICS6_Reference!H8</f>
        <v>0</v>
      </c>
      <c r="AV15" s="73" t="e">
        <f t="shared" si="18"/>
        <v>#DIV/0!</v>
      </c>
    </row>
    <row r="16" spans="2:55" ht="18" customHeight="1">
      <c r="B16" s="331"/>
      <c r="C16" s="133" t="s">
        <v>240</v>
      </c>
      <c r="D16" s="71">
        <f>BICS6_Raw!H21</f>
        <v>0</v>
      </c>
      <c r="E16" s="71">
        <f>BICS6_Reference!H133</f>
        <v>0</v>
      </c>
      <c r="F16" s="75" t="e">
        <f t="shared" si="5"/>
        <v>#DIV/0!</v>
      </c>
      <c r="G16" s="71">
        <f>BICS6_Raw!H33</f>
        <v>0</v>
      </c>
      <c r="H16" s="71">
        <f>BICS6_Reference!H146</f>
        <v>0</v>
      </c>
      <c r="I16" s="75" t="e">
        <f t="shared" si="6"/>
        <v>#DIV/0!</v>
      </c>
      <c r="J16" s="80">
        <f>BICS6_Raw!H234</f>
        <v>0</v>
      </c>
      <c r="K16" s="81">
        <f t="shared" si="7"/>
        <v>0</v>
      </c>
      <c r="L16" s="82" t="e">
        <f t="shared" si="2"/>
        <v>#DIV/0!</v>
      </c>
      <c r="M16" s="81">
        <f>BICS6_Raw!H246</f>
        <v>0</v>
      </c>
      <c r="N16" s="81">
        <f t="shared" si="8"/>
        <v>0</v>
      </c>
      <c r="O16" s="82" t="e">
        <f t="shared" si="3"/>
        <v>#DIV/0!</v>
      </c>
      <c r="P16" s="83">
        <f>BICS6_Raw!H195</f>
        <v>0</v>
      </c>
      <c r="Q16" s="83">
        <f>BICS6_Reference!H208</f>
        <v>0</v>
      </c>
      <c r="R16" s="84" t="e">
        <f t="shared" si="9"/>
        <v>#DIV/0!</v>
      </c>
      <c r="S16" s="71">
        <f>BICS6_Raw!$H71</f>
        <v>0</v>
      </c>
      <c r="T16" s="71">
        <f>BICS6_Reference!$H71</f>
        <v>0</v>
      </c>
      <c r="U16" s="75" t="e">
        <f t="shared" si="10"/>
        <v>#DIV/0!</v>
      </c>
      <c r="V16" s="70">
        <f>BICS6_Raw!$H87</f>
        <v>0</v>
      </c>
      <c r="W16" s="70">
        <f>BICS6_Reference!$H87</f>
        <v>0</v>
      </c>
      <c r="X16" s="73" t="e">
        <f t="shared" si="11"/>
        <v>#DIV/0!</v>
      </c>
      <c r="Y16" s="147">
        <f>BICS6_Raw!$H103</f>
        <v>0</v>
      </c>
      <c r="Z16" s="147">
        <f>BICS6_Reference!$H103</f>
        <v>6655.7780000000002</v>
      </c>
      <c r="AA16" s="149">
        <f t="shared" si="4"/>
        <v>-100</v>
      </c>
      <c r="AB16" s="68">
        <f>BICS6_Raw!$H119</f>
        <v>0</v>
      </c>
      <c r="AC16" s="68">
        <f>BICS6_Reference!$H119</f>
        <v>0</v>
      </c>
      <c r="AD16" s="76" t="e">
        <f t="shared" si="12"/>
        <v>#DIV/0!</v>
      </c>
      <c r="AE16" s="72">
        <f>BICS6_Raw!H117</f>
        <v>0</v>
      </c>
      <c r="AF16" s="72">
        <f>BICS6_Reference!H117</f>
        <v>0</v>
      </c>
      <c r="AG16" s="77" t="e">
        <f t="shared" si="13"/>
        <v>#DIV/0!</v>
      </c>
      <c r="AH16" s="72">
        <f>BICS6_Raw!H45</f>
        <v>0</v>
      </c>
      <c r="AI16" s="72">
        <f>BICS6_Reference!H45</f>
        <v>0</v>
      </c>
      <c r="AJ16" s="77" t="e">
        <f t="shared" si="14"/>
        <v>#DIV/0!</v>
      </c>
      <c r="AK16" s="72">
        <f>BICS6_Raw!H57</f>
        <v>0</v>
      </c>
      <c r="AL16" s="72">
        <f>BICS6_Reference!H57</f>
        <v>0</v>
      </c>
      <c r="AM16" s="77" t="e">
        <f t="shared" si="15"/>
        <v>#DIV/0!</v>
      </c>
      <c r="AN16" s="69">
        <f>BICS6_Raw!H21</f>
        <v>0</v>
      </c>
      <c r="AO16" s="69">
        <f>BICS6_Reference!H21</f>
        <v>0</v>
      </c>
      <c r="AP16" s="51" t="e">
        <f t="shared" si="16"/>
        <v>#DIV/0!</v>
      </c>
      <c r="AQ16" s="69">
        <f>BICS6_Raw!H33</f>
        <v>0</v>
      </c>
      <c r="AR16" s="69">
        <f>BICS6_Reference!H33</f>
        <v>0</v>
      </c>
      <c r="AS16" s="51" t="e">
        <f t="shared" si="17"/>
        <v>#DIV/0!</v>
      </c>
      <c r="AT16" s="70">
        <f>BICS6_Raw!H9</f>
        <v>0</v>
      </c>
      <c r="AU16" s="70">
        <f>BICS6_Reference!H9</f>
        <v>0</v>
      </c>
      <c r="AV16" s="73" t="e">
        <f t="shared" si="18"/>
        <v>#DIV/0!</v>
      </c>
    </row>
    <row r="17" spans="2:48" ht="18" customHeight="1">
      <c r="B17" s="331"/>
      <c r="C17" s="133" t="s">
        <v>165</v>
      </c>
      <c r="D17" s="67">
        <f>BICS6_Raw!B86</f>
        <v>0</v>
      </c>
      <c r="E17" s="67"/>
      <c r="F17" s="78" t="e">
        <f t="shared" ref="F17:F20" si="19">((D17-E17)/E17)*100</f>
        <v>#DIV/0!</v>
      </c>
      <c r="G17" s="67">
        <f>BICS6_Raw!H34</f>
        <v>0</v>
      </c>
      <c r="H17" s="67"/>
      <c r="I17" s="78" t="e">
        <f t="shared" si="6"/>
        <v>#DIV/0!</v>
      </c>
      <c r="J17" s="79"/>
      <c r="K17" s="78"/>
      <c r="L17" s="78"/>
      <c r="M17" s="78"/>
      <c r="N17" s="78"/>
      <c r="O17" s="78"/>
      <c r="P17" s="67">
        <f>BICS6_Raw!H86</f>
        <v>0</v>
      </c>
      <c r="Q17" s="67"/>
      <c r="R17" s="78" t="e">
        <f t="shared" ref="R17:R20" si="20">((P17-Q17)/Q17)*100</f>
        <v>#DIV/0!</v>
      </c>
      <c r="S17" s="71">
        <f>BICS6_Raw!$H68</f>
        <v>0</v>
      </c>
      <c r="T17" s="71">
        <f>BICS6_Reference!$H68</f>
        <v>0</v>
      </c>
      <c r="U17" s="75" t="e">
        <f t="shared" si="10"/>
        <v>#DIV/0!</v>
      </c>
      <c r="V17" s="70">
        <f>BICS6_Raw!$H84</f>
        <v>0</v>
      </c>
      <c r="W17" s="70">
        <f>BICS6_Reference!$H84</f>
        <v>0</v>
      </c>
      <c r="X17" s="73" t="e">
        <f t="shared" si="11"/>
        <v>#DIV/0!</v>
      </c>
      <c r="Y17" s="147">
        <f>BICS6_Raw!$H100</f>
        <v>0</v>
      </c>
      <c r="Z17" s="147">
        <f>BICS6_Reference!$H100</f>
        <v>1220676.8</v>
      </c>
      <c r="AA17" s="149">
        <f t="shared" si="4"/>
        <v>-100</v>
      </c>
      <c r="AB17" s="68">
        <f>BICS6_Raw!$H116</f>
        <v>0</v>
      </c>
      <c r="AC17" s="68">
        <f>BICS6_Reference!$H116</f>
        <v>0</v>
      </c>
      <c r="AD17" s="76" t="e">
        <f t="shared" si="12"/>
        <v>#DIV/0!</v>
      </c>
      <c r="AE17" s="69">
        <f>BICS6_Raw!H118</f>
        <v>0</v>
      </c>
      <c r="AF17" s="69">
        <f>BICS6_Reference!H118</f>
        <v>0</v>
      </c>
      <c r="AG17" s="51" t="e">
        <f t="shared" ref="AG17:AG20" si="21">((AE17-AF17)/AF17)*100</f>
        <v>#DIV/0!</v>
      </c>
      <c r="AH17" s="72">
        <f>BICS6_Raw!H46</f>
        <v>0</v>
      </c>
      <c r="AI17" s="72">
        <f>BICS6_Reference!H46</f>
        <v>0</v>
      </c>
      <c r="AJ17" s="78" t="e">
        <f t="shared" si="14"/>
        <v>#DIV/0!</v>
      </c>
      <c r="AK17" s="72">
        <f>BICS6_Raw!H58</f>
        <v>0</v>
      </c>
      <c r="AL17" s="72">
        <f>BICS6_Reference!H58</f>
        <v>0</v>
      </c>
      <c r="AM17" s="78" t="e">
        <f t="shared" si="15"/>
        <v>#DIV/0!</v>
      </c>
      <c r="AN17" s="69">
        <f>BICS6_Raw!H22</f>
        <v>0</v>
      </c>
      <c r="AO17" s="69">
        <f>BICS6_Reference!H22</f>
        <v>0</v>
      </c>
      <c r="AP17" s="51" t="e">
        <f t="shared" si="16"/>
        <v>#DIV/0!</v>
      </c>
      <c r="AQ17" s="69">
        <f>BICS6_Raw!H34</f>
        <v>0</v>
      </c>
      <c r="AR17" s="69">
        <f>BICS6_Reference!H34</f>
        <v>0</v>
      </c>
      <c r="AS17" s="51" t="e">
        <f t="shared" si="17"/>
        <v>#DIV/0!</v>
      </c>
      <c r="AT17" s="70">
        <f>BICS6_Raw!H10</f>
        <v>0</v>
      </c>
      <c r="AU17" s="70">
        <f>BICS6_Reference!H10</f>
        <v>0</v>
      </c>
      <c r="AV17" s="51" t="e">
        <f t="shared" si="18"/>
        <v>#DIV/0!</v>
      </c>
    </row>
    <row r="18" spans="2:48" ht="18" customHeight="1">
      <c r="B18" s="331"/>
      <c r="C18" s="133" t="s">
        <v>166</v>
      </c>
      <c r="D18" s="67">
        <f>BICS6_Raw!B87</f>
        <v>0</v>
      </c>
      <c r="E18" s="67"/>
      <c r="F18" s="78" t="e">
        <f t="shared" si="19"/>
        <v>#DIV/0!</v>
      </c>
      <c r="G18" s="67">
        <f>BICS6_Raw!H35</f>
        <v>0</v>
      </c>
      <c r="H18" s="67"/>
      <c r="I18" s="78" t="e">
        <f t="shared" si="6"/>
        <v>#DIV/0!</v>
      </c>
      <c r="J18" s="79"/>
      <c r="K18" s="78"/>
      <c r="L18" s="78"/>
      <c r="M18" s="78"/>
      <c r="N18" s="78"/>
      <c r="O18" s="78"/>
      <c r="P18" s="67">
        <f>BICS6_Raw!H87</f>
        <v>0</v>
      </c>
      <c r="Q18" s="67"/>
      <c r="R18" s="78" t="e">
        <f t="shared" si="20"/>
        <v>#DIV/0!</v>
      </c>
      <c r="S18" s="71">
        <f>BICS6_Raw!$H72</f>
        <v>0</v>
      </c>
      <c r="T18" s="71">
        <f>BICS6_Reference!$H72</f>
        <v>0</v>
      </c>
      <c r="U18" s="75" t="e">
        <f t="shared" si="10"/>
        <v>#DIV/0!</v>
      </c>
      <c r="V18" s="70">
        <f>BICS6_Raw!$H88</f>
        <v>0</v>
      </c>
      <c r="W18" s="70">
        <f>BICS6_Reference!$H88</f>
        <v>0</v>
      </c>
      <c r="X18" s="73" t="e">
        <f t="shared" si="11"/>
        <v>#DIV/0!</v>
      </c>
      <c r="Y18" s="147">
        <f>BICS6_Raw!$H104</f>
        <v>0</v>
      </c>
      <c r="Z18" s="147">
        <f>BICS6_Reference!$H104</f>
        <v>1361456.5</v>
      </c>
      <c r="AA18" s="149">
        <f t="shared" si="4"/>
        <v>-100</v>
      </c>
      <c r="AB18" s="68">
        <f>BICS6_Raw!$H120</f>
        <v>0</v>
      </c>
      <c r="AC18" s="68">
        <f>BICS6_Reference!$H120</f>
        <v>0</v>
      </c>
      <c r="AD18" s="76" t="e">
        <f t="shared" si="12"/>
        <v>#DIV/0!</v>
      </c>
      <c r="AE18" s="69">
        <f>BICS6_Raw!H119</f>
        <v>0</v>
      </c>
      <c r="AF18" s="69">
        <f>BICS6_Reference!H119</f>
        <v>0</v>
      </c>
      <c r="AG18" s="51" t="e">
        <f t="shared" si="21"/>
        <v>#DIV/0!</v>
      </c>
      <c r="AH18" s="72">
        <f>BICS6_Raw!H47</f>
        <v>0</v>
      </c>
      <c r="AI18" s="72">
        <f>BICS6_Reference!H47</f>
        <v>0</v>
      </c>
      <c r="AJ18" s="78" t="e">
        <f t="shared" si="14"/>
        <v>#DIV/0!</v>
      </c>
      <c r="AK18" s="72">
        <f>BICS6_Raw!H59</f>
        <v>0</v>
      </c>
      <c r="AL18" s="72">
        <f>BICS6_Reference!H59</f>
        <v>0</v>
      </c>
      <c r="AM18" s="78" t="e">
        <f t="shared" si="15"/>
        <v>#DIV/0!</v>
      </c>
      <c r="AN18" s="69">
        <f>BICS6_Raw!H23</f>
        <v>0</v>
      </c>
      <c r="AO18" s="69">
        <f>BICS6_Reference!H23</f>
        <v>0</v>
      </c>
      <c r="AP18" s="51" t="e">
        <f t="shared" si="16"/>
        <v>#DIV/0!</v>
      </c>
      <c r="AQ18" s="69">
        <f>BICS6_Raw!H35</f>
        <v>0</v>
      </c>
      <c r="AR18" s="69">
        <f>BICS6_Reference!H35</f>
        <v>0</v>
      </c>
      <c r="AS18" s="51" t="e">
        <f t="shared" si="17"/>
        <v>#DIV/0!</v>
      </c>
      <c r="AT18" s="70">
        <f>BICS6_Raw!H11</f>
        <v>0</v>
      </c>
      <c r="AU18" s="70">
        <f>BICS6_Reference!H11</f>
        <v>0</v>
      </c>
      <c r="AV18" s="51" t="e">
        <f t="shared" si="18"/>
        <v>#DIV/0!</v>
      </c>
    </row>
    <row r="19" spans="2:48" ht="18" customHeight="1">
      <c r="B19" s="331"/>
      <c r="C19" s="133" t="s">
        <v>167</v>
      </c>
      <c r="D19" s="67">
        <f>BICS6_Raw!B88</f>
        <v>0</v>
      </c>
      <c r="E19" s="67"/>
      <c r="F19" s="78" t="e">
        <f t="shared" si="19"/>
        <v>#DIV/0!</v>
      </c>
      <c r="G19" s="67">
        <f>BICS6_Raw!H36</f>
        <v>0</v>
      </c>
      <c r="H19" s="67"/>
      <c r="I19" s="78" t="e">
        <f t="shared" si="6"/>
        <v>#DIV/0!</v>
      </c>
      <c r="J19" s="79"/>
      <c r="K19" s="78"/>
      <c r="L19" s="78"/>
      <c r="M19" s="78"/>
      <c r="N19" s="78"/>
      <c r="O19" s="78"/>
      <c r="P19" s="67">
        <f>BICS6_Raw!H88</f>
        <v>0</v>
      </c>
      <c r="Q19" s="67"/>
      <c r="R19" s="78" t="e">
        <f t="shared" si="20"/>
        <v>#DIV/0!</v>
      </c>
      <c r="S19" s="71">
        <f>BICS6_Raw!$H69</f>
        <v>0</v>
      </c>
      <c r="T19" s="71">
        <f>BICS6_Reference!$H69</f>
        <v>0</v>
      </c>
      <c r="U19" s="75" t="e">
        <f t="shared" si="10"/>
        <v>#DIV/0!</v>
      </c>
      <c r="V19" s="70">
        <f>BICS6_Raw!$H85</f>
        <v>0</v>
      </c>
      <c r="W19" s="70">
        <f>BICS6_Reference!$H85</f>
        <v>0</v>
      </c>
      <c r="X19" s="73" t="e">
        <f t="shared" si="11"/>
        <v>#DIV/0!</v>
      </c>
      <c r="Y19" s="147">
        <f>BICS6_Raw!$H101</f>
        <v>0</v>
      </c>
      <c r="Z19" s="147">
        <f>BICS6_Reference!$H101</f>
        <v>23795.7</v>
      </c>
      <c r="AA19" s="149">
        <f t="shared" si="4"/>
        <v>-100</v>
      </c>
      <c r="AB19" s="68">
        <f>BICS6_Raw!$H117</f>
        <v>0</v>
      </c>
      <c r="AC19" s="68">
        <f>BICS6_Reference!$H117</f>
        <v>0</v>
      </c>
      <c r="AD19" s="76" t="e">
        <f t="shared" si="12"/>
        <v>#DIV/0!</v>
      </c>
      <c r="AE19" s="69">
        <f>BICS6_Raw!H120</f>
        <v>0</v>
      </c>
      <c r="AF19" s="69">
        <f>BICS6_Reference!H120</f>
        <v>0</v>
      </c>
      <c r="AG19" s="51" t="e">
        <f t="shared" si="21"/>
        <v>#DIV/0!</v>
      </c>
      <c r="AH19" s="72">
        <f>BICS6_Raw!H48</f>
        <v>0</v>
      </c>
      <c r="AI19" s="72">
        <f>BICS6_Reference!H48</f>
        <v>0</v>
      </c>
      <c r="AJ19" s="78" t="e">
        <f t="shared" si="14"/>
        <v>#DIV/0!</v>
      </c>
      <c r="AK19" s="72">
        <f>BICS6_Raw!H60</f>
        <v>0</v>
      </c>
      <c r="AL19" s="72">
        <f>BICS6_Reference!H60</f>
        <v>0</v>
      </c>
      <c r="AM19" s="78" t="e">
        <f t="shared" si="15"/>
        <v>#DIV/0!</v>
      </c>
      <c r="AN19" s="69">
        <f>BICS6_Raw!H24</f>
        <v>0</v>
      </c>
      <c r="AO19" s="69">
        <f>BICS6_Reference!H24</f>
        <v>0</v>
      </c>
      <c r="AP19" s="51" t="e">
        <f t="shared" si="16"/>
        <v>#DIV/0!</v>
      </c>
      <c r="AQ19" s="69">
        <f>BICS6_Raw!H36</f>
        <v>0</v>
      </c>
      <c r="AR19" s="69">
        <f>BICS6_Reference!H36</f>
        <v>0</v>
      </c>
      <c r="AS19" s="51" t="e">
        <f t="shared" si="17"/>
        <v>#DIV/0!</v>
      </c>
      <c r="AT19" s="70">
        <f>BICS6_Raw!H12</f>
        <v>0</v>
      </c>
      <c r="AU19" s="70">
        <f>BICS6_Reference!H12</f>
        <v>0</v>
      </c>
      <c r="AV19" s="51" t="e">
        <f t="shared" si="18"/>
        <v>#DIV/0!</v>
      </c>
    </row>
    <row r="20" spans="2:48" ht="18" customHeight="1">
      <c r="B20" s="331"/>
      <c r="C20" s="159" t="s">
        <v>168</v>
      </c>
      <c r="D20" s="160">
        <f>BICS6_Raw!B89</f>
        <v>0</v>
      </c>
      <c r="E20" s="160"/>
      <c r="F20" s="161" t="e">
        <f t="shared" si="19"/>
        <v>#DIV/0!</v>
      </c>
      <c r="G20" s="160">
        <f>BICS6_Raw!H37</f>
        <v>0</v>
      </c>
      <c r="H20" s="160"/>
      <c r="I20" s="161" t="e">
        <f t="shared" si="6"/>
        <v>#DIV/0!</v>
      </c>
      <c r="J20" s="162"/>
      <c r="K20" s="161"/>
      <c r="L20" s="161"/>
      <c r="M20" s="161"/>
      <c r="N20" s="161"/>
      <c r="O20" s="161"/>
      <c r="P20" s="160">
        <f>BICS6_Raw!H89</f>
        <v>0</v>
      </c>
      <c r="Q20" s="160"/>
      <c r="R20" s="161" t="e">
        <f t="shared" si="20"/>
        <v>#DIV/0!</v>
      </c>
      <c r="S20" s="163">
        <f>BICS6_Raw!$H73</f>
        <v>0</v>
      </c>
      <c r="T20" s="163">
        <f>BICS6_Reference!$H73</f>
        <v>0</v>
      </c>
      <c r="U20" s="164" t="e">
        <f t="shared" si="10"/>
        <v>#DIV/0!</v>
      </c>
      <c r="V20" s="165">
        <f>BICS6_Raw!$H89</f>
        <v>0</v>
      </c>
      <c r="W20" s="165">
        <f>BICS6_Reference!$H89</f>
        <v>0</v>
      </c>
      <c r="X20" s="166" t="e">
        <f t="shared" si="11"/>
        <v>#DIV/0!</v>
      </c>
      <c r="Y20" s="167">
        <f>BICS6_Raw!$H105</f>
        <v>0</v>
      </c>
      <c r="Z20" s="167">
        <f>BICS6_Reference!$H105</f>
        <v>101225.60000000001</v>
      </c>
      <c r="AA20" s="168">
        <f t="shared" si="4"/>
        <v>-100</v>
      </c>
      <c r="AB20" s="169">
        <f>BICS6_Raw!$H121</f>
        <v>0</v>
      </c>
      <c r="AC20" s="169">
        <f>BICS6_Reference!$H121</f>
        <v>0</v>
      </c>
      <c r="AD20" s="170" t="e">
        <f t="shared" si="12"/>
        <v>#DIV/0!</v>
      </c>
      <c r="AE20" s="69">
        <f>BICS6_Raw!H121</f>
        <v>0</v>
      </c>
      <c r="AF20" s="69">
        <f>BICS6_Reference!H121</f>
        <v>0</v>
      </c>
      <c r="AG20" s="51" t="e">
        <f t="shared" si="21"/>
        <v>#DIV/0!</v>
      </c>
      <c r="AH20" s="72">
        <f>BICS6_Raw!H49</f>
        <v>0</v>
      </c>
      <c r="AI20" s="72">
        <f>BICS6_Reference!H49</f>
        <v>0</v>
      </c>
      <c r="AJ20" s="78" t="e">
        <f t="shared" si="14"/>
        <v>#DIV/0!</v>
      </c>
      <c r="AK20" s="72">
        <f>BICS6_Raw!H61</f>
        <v>0</v>
      </c>
      <c r="AL20" s="72">
        <f>BICS6_Reference!H61</f>
        <v>0</v>
      </c>
      <c r="AM20" s="78" t="e">
        <f t="shared" si="15"/>
        <v>#DIV/0!</v>
      </c>
      <c r="AN20" s="69">
        <f>BICS6_Raw!H25</f>
        <v>0</v>
      </c>
      <c r="AO20" s="69">
        <f>BICS6_Reference!H25</f>
        <v>0</v>
      </c>
      <c r="AP20" s="51" t="e">
        <f t="shared" si="16"/>
        <v>#DIV/0!</v>
      </c>
      <c r="AQ20" s="69">
        <f>BICS6_Raw!H37</f>
        <v>0</v>
      </c>
      <c r="AR20" s="69">
        <f>BICS6_Reference!H37</f>
        <v>0</v>
      </c>
      <c r="AS20" s="51" t="e">
        <f t="shared" si="17"/>
        <v>#DIV/0!</v>
      </c>
      <c r="AT20" s="70">
        <f>BICS6_Raw!H13</f>
        <v>0</v>
      </c>
      <c r="AU20" s="70">
        <f>BICS6_Reference!H13</f>
        <v>0</v>
      </c>
      <c r="AV20" s="51" t="e">
        <f t="shared" si="18"/>
        <v>#DIV/0!</v>
      </c>
    </row>
    <row r="21" spans="2:48" ht="15">
      <c r="B21" s="331"/>
      <c r="C21" s="159" t="s">
        <v>216</v>
      </c>
      <c r="D21" s="156"/>
      <c r="E21" s="156"/>
      <c r="F21" s="157"/>
      <c r="G21" s="156"/>
      <c r="H21" s="156"/>
      <c r="I21" s="157"/>
      <c r="J21" s="157"/>
      <c r="K21" s="157"/>
      <c r="L21" s="157"/>
      <c r="M21" s="157"/>
      <c r="N21" s="157"/>
      <c r="O21" s="157"/>
      <c r="P21" s="156"/>
      <c r="Q21" s="156"/>
      <c r="R21" s="157"/>
      <c r="S21" s="178">
        <f>BICS6_Raw!$H74</f>
        <v>0</v>
      </c>
      <c r="T21" s="178">
        <f>BICS6_Reference!$H74</f>
        <v>0</v>
      </c>
      <c r="U21" s="179" t="e">
        <f t="shared" si="10"/>
        <v>#DIV/0!</v>
      </c>
      <c r="V21" s="180">
        <f>BICS6_Raw!$H90</f>
        <v>0</v>
      </c>
      <c r="W21" s="158">
        <f>BICS6_Reference!$H90</f>
        <v>0</v>
      </c>
      <c r="X21" s="181" t="e">
        <f t="shared" si="11"/>
        <v>#DIV/0!</v>
      </c>
      <c r="Y21" s="174">
        <f>BICS6_Raw!$H106</f>
        <v>0</v>
      </c>
      <c r="Z21" s="174">
        <f>BICS6_Reference!$H106</f>
        <v>6623.2330000000002</v>
      </c>
      <c r="AA21" s="187">
        <f t="shared" si="4"/>
        <v>-100</v>
      </c>
      <c r="AB21" s="188">
        <f>BICS6_Raw!$H122</f>
        <v>0</v>
      </c>
      <c r="AC21" s="188">
        <f>BICS6_Reference!$H122</f>
        <v>0</v>
      </c>
      <c r="AD21" s="189" t="e">
        <f t="shared" si="12"/>
        <v>#DIV/0!</v>
      </c>
      <c r="AE21" s="151"/>
      <c r="AF21" s="151"/>
      <c r="AG21" s="135"/>
      <c r="AH21" s="152"/>
      <c r="AI21" s="152"/>
      <c r="AJ21" s="134"/>
      <c r="AK21" s="152"/>
      <c r="AL21" s="152"/>
      <c r="AM21" s="134"/>
      <c r="AN21" s="151"/>
      <c r="AO21" s="151"/>
      <c r="AP21" s="135"/>
      <c r="AQ21" s="151"/>
      <c r="AR21" s="151"/>
      <c r="AS21" s="135"/>
      <c r="AT21" s="153"/>
      <c r="AU21" s="153"/>
      <c r="AV21" s="230"/>
    </row>
    <row r="22" spans="2:48" ht="15" customHeight="1">
      <c r="B22" s="331"/>
      <c r="C22" s="159" t="s">
        <v>241</v>
      </c>
      <c r="D22" s="154"/>
      <c r="E22" s="154"/>
      <c r="F22" s="155"/>
      <c r="G22" s="154"/>
      <c r="H22" s="154"/>
      <c r="I22" s="155"/>
      <c r="J22" s="155"/>
      <c r="K22" s="155"/>
      <c r="L22" s="155"/>
      <c r="M22" s="155"/>
      <c r="N22" s="155"/>
      <c r="O22" s="155"/>
      <c r="P22" s="154"/>
      <c r="Q22" s="154"/>
      <c r="R22" s="155"/>
      <c r="S22" s="71">
        <f>BICS6_Raw!$H75</f>
        <v>0</v>
      </c>
      <c r="T22" s="71">
        <f>BICS6_Reference!$H75</f>
        <v>0</v>
      </c>
      <c r="U22" s="75" t="e">
        <f t="shared" si="10"/>
        <v>#DIV/0!</v>
      </c>
      <c r="V22" s="180">
        <f>BICS6_Raw!$H91</f>
        <v>0</v>
      </c>
      <c r="W22" s="158">
        <f>BICS6_Reference!$H91</f>
        <v>0</v>
      </c>
      <c r="X22" s="73" t="e">
        <f t="shared" si="11"/>
        <v>#DIV/0!</v>
      </c>
      <c r="Y22" s="174">
        <f>BICS6_Raw!$H107</f>
        <v>0</v>
      </c>
      <c r="Z22" s="174">
        <f>BICS6_Reference!$H107</f>
        <v>6524.2820000000002</v>
      </c>
      <c r="AA22" s="191">
        <f t="shared" si="4"/>
        <v>-100</v>
      </c>
      <c r="AB22" s="68">
        <f>BICS6_Raw!$H123</f>
        <v>0</v>
      </c>
      <c r="AC22" s="68">
        <f>BICS6_Reference!$H123</f>
        <v>0</v>
      </c>
      <c r="AD22" s="76" t="e">
        <f t="shared" si="12"/>
        <v>#DIV/0!</v>
      </c>
      <c r="AE22" s="151"/>
      <c r="AF22" s="151"/>
      <c r="AG22" s="135"/>
      <c r="AH22" s="152"/>
      <c r="AI22" s="152"/>
      <c r="AJ22" s="134"/>
      <c r="AK22" s="152"/>
      <c r="AL22" s="152"/>
      <c r="AM22" s="134"/>
      <c r="AN22" s="151"/>
      <c r="AO22" s="151"/>
      <c r="AP22" s="135"/>
      <c r="AQ22" s="151"/>
      <c r="AR22" s="151"/>
      <c r="AS22" s="135"/>
      <c r="AT22" s="153"/>
      <c r="AU22" s="153"/>
      <c r="AV22" s="230"/>
    </row>
    <row r="23" spans="2:48" ht="15" customHeight="1">
      <c r="B23" s="331"/>
      <c r="C23" s="159" t="s">
        <v>214</v>
      </c>
      <c r="D23" s="154"/>
      <c r="E23" s="154"/>
      <c r="F23" s="155"/>
      <c r="G23" s="154"/>
      <c r="H23" s="154"/>
      <c r="I23" s="155"/>
      <c r="J23" s="155"/>
      <c r="K23" s="155"/>
      <c r="L23" s="155"/>
      <c r="M23" s="155"/>
      <c r="N23" s="155"/>
      <c r="O23" s="155"/>
      <c r="P23" s="154"/>
      <c r="Q23" s="154"/>
      <c r="R23" s="155"/>
      <c r="S23" s="71">
        <f>BICS6_Raw!$H76</f>
        <v>0</v>
      </c>
      <c r="T23" s="71">
        <f>BICS6_Reference!$H76</f>
        <v>0</v>
      </c>
      <c r="U23" s="75" t="e">
        <f t="shared" si="10"/>
        <v>#DIV/0!</v>
      </c>
      <c r="V23" s="180">
        <f>BICS6_Raw!$H92</f>
        <v>0</v>
      </c>
      <c r="W23" s="158">
        <f>BICS6_Reference!$H92</f>
        <v>0</v>
      </c>
      <c r="X23" s="73" t="e">
        <f t="shared" si="11"/>
        <v>#DIV/0!</v>
      </c>
      <c r="Y23" s="174">
        <f>BICS6_Raw!$H108</f>
        <v>0</v>
      </c>
      <c r="Z23" s="174">
        <f>BICS6_Reference!$H108</f>
        <v>924070.6</v>
      </c>
      <c r="AA23" s="190">
        <f t="shared" si="4"/>
        <v>-100</v>
      </c>
      <c r="AB23" s="68">
        <f>BICS6_Raw!$H124</f>
        <v>0</v>
      </c>
      <c r="AC23" s="68">
        <f>BICS6_Reference!$H124</f>
        <v>0</v>
      </c>
      <c r="AD23" s="76" t="e">
        <f t="shared" si="12"/>
        <v>#DIV/0!</v>
      </c>
      <c r="AE23" s="151"/>
      <c r="AF23" s="151"/>
      <c r="AG23" s="135"/>
      <c r="AH23" s="152"/>
      <c r="AI23" s="152"/>
      <c r="AJ23" s="134"/>
      <c r="AK23" s="152"/>
      <c r="AL23" s="152"/>
      <c r="AM23" s="134"/>
      <c r="AN23" s="151"/>
      <c r="AO23" s="151"/>
      <c r="AP23" s="135"/>
      <c r="AQ23" s="151"/>
      <c r="AR23" s="151"/>
      <c r="AS23" s="135"/>
      <c r="AT23" s="153"/>
      <c r="AU23" s="153"/>
      <c r="AV23" s="230"/>
    </row>
    <row r="24" spans="2:48" ht="15">
      <c r="B24" s="331"/>
      <c r="C24" s="159" t="s">
        <v>215</v>
      </c>
      <c r="D24" s="192"/>
      <c r="E24" s="192"/>
      <c r="F24" s="193"/>
      <c r="G24" s="192"/>
      <c r="H24" s="192"/>
      <c r="I24" s="193"/>
      <c r="J24" s="193"/>
      <c r="K24" s="193"/>
      <c r="L24" s="193"/>
      <c r="M24" s="193"/>
      <c r="N24" s="193"/>
      <c r="O24" s="193"/>
      <c r="P24" s="192"/>
      <c r="Q24" s="192"/>
      <c r="R24" s="193"/>
      <c r="S24" s="71">
        <f>BICS6_Raw!$H77</f>
        <v>0</v>
      </c>
      <c r="T24" s="71">
        <f>BICS6_Reference!$H77</f>
        <v>0</v>
      </c>
      <c r="U24" s="75" t="e">
        <f t="shared" si="10"/>
        <v>#DIV/0!</v>
      </c>
      <c r="V24" s="180">
        <f>BICS6_Raw!$H93</f>
        <v>0</v>
      </c>
      <c r="W24" s="158">
        <f>BICS6_Reference!$H93</f>
        <v>0</v>
      </c>
      <c r="X24" s="73" t="e">
        <f t="shared" si="11"/>
        <v>#DIV/0!</v>
      </c>
      <c r="Y24" s="194">
        <f>BICS6_Raw!$H109</f>
        <v>0</v>
      </c>
      <c r="Z24" s="194">
        <f>BICS6_Reference!$H109</f>
        <v>25767.3</v>
      </c>
      <c r="AA24" s="190">
        <f t="shared" si="4"/>
        <v>-100</v>
      </c>
      <c r="AB24" s="68">
        <f>BICS6_Raw!$H125</f>
        <v>0</v>
      </c>
      <c r="AC24" s="68">
        <f>BICS6_Reference!$H125</f>
        <v>0</v>
      </c>
      <c r="AD24" s="76" t="e">
        <f t="shared" si="12"/>
        <v>#DIV/0!</v>
      </c>
      <c r="AE24" s="151"/>
      <c r="AF24" s="151"/>
      <c r="AG24" s="135"/>
      <c r="AH24" s="152"/>
      <c r="AI24" s="152"/>
      <c r="AJ24" s="134"/>
      <c r="AK24" s="152"/>
      <c r="AL24" s="152"/>
      <c r="AM24" s="134"/>
      <c r="AN24" s="151"/>
      <c r="AO24" s="151"/>
      <c r="AP24" s="135"/>
      <c r="AQ24" s="151"/>
      <c r="AR24" s="151"/>
      <c r="AS24" s="135"/>
      <c r="AT24" s="153"/>
      <c r="AU24" s="153"/>
      <c r="AV24" s="230"/>
    </row>
    <row r="25" spans="2:48" ht="9.75" customHeight="1">
      <c r="B25" s="322"/>
      <c r="C25" s="329"/>
      <c r="D25" s="329"/>
      <c r="E25" s="329"/>
      <c r="F25" s="329"/>
      <c r="G25" s="329"/>
      <c r="H25" s="329"/>
      <c r="I25" s="329"/>
      <c r="J25" s="329"/>
      <c r="K25" s="329"/>
      <c r="L25" s="329"/>
      <c r="M25" s="329"/>
      <c r="N25" s="329"/>
      <c r="O25" s="329"/>
      <c r="P25" s="329"/>
      <c r="Q25" s="329"/>
      <c r="R25" s="329"/>
      <c r="S25" s="329"/>
      <c r="T25" s="329"/>
      <c r="U25" s="329"/>
      <c r="V25" s="329"/>
      <c r="W25" s="329"/>
      <c r="X25" s="329"/>
      <c r="Y25" s="329"/>
      <c r="Z25" s="329"/>
      <c r="AA25" s="329"/>
      <c r="AB25" s="329"/>
      <c r="AC25" s="329"/>
      <c r="AD25" s="329"/>
      <c r="AE25" s="151"/>
      <c r="AF25" s="151"/>
      <c r="AG25" s="135"/>
      <c r="AH25" s="152"/>
      <c r="AI25" s="152"/>
      <c r="AJ25" s="134"/>
      <c r="AK25" s="152"/>
      <c r="AL25" s="152"/>
      <c r="AM25" s="134"/>
      <c r="AN25" s="151"/>
      <c r="AO25" s="151"/>
      <c r="AP25" s="135"/>
      <c r="AQ25" s="151"/>
      <c r="AR25" s="151"/>
      <c r="AS25" s="135"/>
      <c r="AT25" s="153"/>
      <c r="AU25" s="153"/>
      <c r="AV25" s="230"/>
    </row>
    <row r="26" spans="2:48" ht="18" customHeight="1">
      <c r="B26" s="334" t="s">
        <v>162</v>
      </c>
      <c r="C26" s="133" t="s">
        <v>163</v>
      </c>
      <c r="D26" s="67"/>
      <c r="E26" s="67"/>
      <c r="F26" s="78"/>
      <c r="G26" s="67"/>
      <c r="H26" s="67"/>
      <c r="I26" s="78"/>
      <c r="J26" s="79"/>
      <c r="K26" s="78"/>
      <c r="L26" s="78"/>
      <c r="M26" s="78"/>
      <c r="N26" s="78"/>
      <c r="O26" s="78"/>
      <c r="P26" s="67"/>
      <c r="Q26" s="67"/>
      <c r="R26" s="78"/>
      <c r="S26" s="71">
        <f>BICS6_Raw!$G66</f>
        <v>0</v>
      </c>
      <c r="T26" s="71">
        <f>BICS6_Reference!$G66</f>
        <v>0</v>
      </c>
      <c r="U26" s="75" t="e">
        <f t="shared" si="10"/>
        <v>#DIV/0!</v>
      </c>
      <c r="V26" s="70">
        <f>BICS6_Raw!$G82</f>
        <v>0</v>
      </c>
      <c r="W26" s="70">
        <f>BICS6_Reference!$G82</f>
        <v>0</v>
      </c>
      <c r="X26" s="73" t="e">
        <f t="shared" si="11"/>
        <v>#DIV/0!</v>
      </c>
      <c r="Y26" s="147">
        <f>BICS6_Raw!$G98</f>
        <v>0</v>
      </c>
      <c r="Z26" s="147">
        <f>BICS6_Reference!$G98</f>
        <v>6982.8343333333332</v>
      </c>
      <c r="AA26" s="149">
        <f t="shared" si="4"/>
        <v>-100</v>
      </c>
      <c r="AB26" s="68">
        <f>BICS6_Raw!$G114</f>
        <v>0</v>
      </c>
      <c r="AC26" s="68">
        <f>BICS6_Reference!$G114</f>
        <v>0</v>
      </c>
      <c r="AD26" s="76" t="e">
        <f t="shared" si="12"/>
        <v>#DIV/0!</v>
      </c>
      <c r="AE26" s="151"/>
      <c r="AF26" s="151"/>
      <c r="AG26" s="135"/>
      <c r="AH26" s="152"/>
      <c r="AI26" s="152"/>
      <c r="AJ26" s="134"/>
      <c r="AK26" s="152"/>
      <c r="AL26" s="152"/>
      <c r="AM26" s="134"/>
      <c r="AN26" s="151"/>
      <c r="AO26" s="151"/>
      <c r="AP26" s="135"/>
      <c r="AQ26" s="151"/>
      <c r="AR26" s="151"/>
      <c r="AS26" s="135"/>
      <c r="AT26" s="153"/>
      <c r="AU26" s="153"/>
      <c r="AV26" s="230"/>
    </row>
    <row r="27" spans="2:48" ht="18" customHeight="1">
      <c r="B27" s="335"/>
      <c r="C27" s="133" t="s">
        <v>164</v>
      </c>
      <c r="D27" s="67"/>
      <c r="E27" s="67"/>
      <c r="F27" s="78"/>
      <c r="G27" s="67"/>
      <c r="H27" s="67"/>
      <c r="I27" s="78"/>
      <c r="J27" s="79"/>
      <c r="K27" s="78"/>
      <c r="L27" s="78"/>
      <c r="M27" s="78"/>
      <c r="N27" s="78"/>
      <c r="O27" s="78"/>
      <c r="P27" s="67"/>
      <c r="Q27" s="67"/>
      <c r="R27" s="78"/>
      <c r="S27" s="71">
        <f>BICS6_Raw!$G70</f>
        <v>0</v>
      </c>
      <c r="T27" s="71">
        <f>BICS6_Reference!$G70</f>
        <v>0</v>
      </c>
      <c r="U27" s="75" t="e">
        <f t="shared" si="10"/>
        <v>#DIV/0!</v>
      </c>
      <c r="V27" s="70">
        <f>BICS6_Raw!$G86</f>
        <v>0</v>
      </c>
      <c r="W27" s="70">
        <f>BICS6_Reference!$G86</f>
        <v>0</v>
      </c>
      <c r="X27" s="73" t="e">
        <f t="shared" si="11"/>
        <v>#DIV/0!</v>
      </c>
      <c r="Y27" s="147">
        <f>BICS6_Raw!$G102</f>
        <v>0</v>
      </c>
      <c r="Z27" s="147">
        <f>BICS6_Reference!$G102</f>
        <v>6656.4039999999995</v>
      </c>
      <c r="AA27" s="149">
        <f t="shared" si="4"/>
        <v>-100</v>
      </c>
      <c r="AB27" s="68">
        <f>BICS6_Raw!$G118</f>
        <v>0</v>
      </c>
      <c r="AC27" s="68">
        <f>BICS6_Reference!$G118</f>
        <v>0</v>
      </c>
      <c r="AD27" s="76" t="e">
        <f t="shared" si="12"/>
        <v>#DIV/0!</v>
      </c>
      <c r="AE27" s="151"/>
      <c r="AF27" s="151"/>
      <c r="AG27" s="135"/>
      <c r="AH27" s="152"/>
      <c r="AI27" s="152"/>
      <c r="AJ27" s="134"/>
      <c r="AK27" s="152"/>
      <c r="AL27" s="152"/>
      <c r="AM27" s="134"/>
      <c r="AN27" s="151"/>
      <c r="AO27" s="151"/>
      <c r="AP27" s="135"/>
      <c r="AQ27" s="151"/>
      <c r="AR27" s="151"/>
      <c r="AS27" s="135"/>
      <c r="AT27" s="153"/>
      <c r="AU27" s="153"/>
      <c r="AV27" s="230"/>
    </row>
    <row r="28" spans="2:48" ht="18" customHeight="1">
      <c r="B28" s="335"/>
      <c r="C28" s="133" t="s">
        <v>239</v>
      </c>
      <c r="D28" s="67"/>
      <c r="E28" s="67"/>
      <c r="F28" s="78"/>
      <c r="G28" s="67"/>
      <c r="H28" s="67"/>
      <c r="I28" s="78"/>
      <c r="J28" s="79"/>
      <c r="K28" s="78"/>
      <c r="L28" s="78"/>
      <c r="M28" s="78"/>
      <c r="N28" s="78"/>
      <c r="O28" s="78"/>
      <c r="P28" s="67"/>
      <c r="Q28" s="67"/>
      <c r="R28" s="78"/>
      <c r="S28" s="71">
        <f>BICS6_Raw!$G67</f>
        <v>0</v>
      </c>
      <c r="T28" s="71">
        <f>BICS6_Reference!$G67</f>
        <v>0</v>
      </c>
      <c r="U28" s="75" t="e">
        <f t="shared" si="10"/>
        <v>#DIV/0!</v>
      </c>
      <c r="V28" s="70">
        <f>BICS6_Raw!$G83</f>
        <v>0</v>
      </c>
      <c r="W28" s="70">
        <f>BICS6_Reference!$G83</f>
        <v>0</v>
      </c>
      <c r="X28" s="73" t="e">
        <f t="shared" si="11"/>
        <v>#DIV/0!</v>
      </c>
      <c r="Y28" s="147">
        <f>BICS6_Raw!$G99</f>
        <v>0</v>
      </c>
      <c r="Z28" s="147">
        <f>BICS6_Reference!$G99</f>
        <v>6978.456666666666</v>
      </c>
      <c r="AA28" s="149">
        <f t="shared" si="4"/>
        <v>-100</v>
      </c>
      <c r="AB28" s="68">
        <f>BICS6_Raw!$G115</f>
        <v>0</v>
      </c>
      <c r="AC28" s="68">
        <f>BICS6_Reference!$G115</f>
        <v>0</v>
      </c>
      <c r="AD28" s="76" t="e">
        <f t="shared" si="12"/>
        <v>#DIV/0!</v>
      </c>
      <c r="AE28" s="151"/>
      <c r="AF28" s="151"/>
      <c r="AG28" s="135"/>
      <c r="AH28" s="152"/>
      <c r="AI28" s="152"/>
      <c r="AJ28" s="134"/>
      <c r="AK28" s="152"/>
      <c r="AL28" s="152"/>
      <c r="AM28" s="134"/>
      <c r="AN28" s="151"/>
      <c r="AO28" s="151"/>
      <c r="AP28" s="135"/>
      <c r="AQ28" s="151"/>
      <c r="AR28" s="151"/>
      <c r="AS28" s="135"/>
      <c r="AT28" s="153"/>
      <c r="AU28" s="153"/>
      <c r="AV28" s="230"/>
    </row>
    <row r="29" spans="2:48" ht="18" customHeight="1">
      <c r="B29" s="335"/>
      <c r="C29" s="133" t="s">
        <v>240</v>
      </c>
      <c r="D29" s="67"/>
      <c r="E29" s="67"/>
      <c r="F29" s="78"/>
      <c r="G29" s="67"/>
      <c r="H29" s="67"/>
      <c r="I29" s="78"/>
      <c r="J29" s="79"/>
      <c r="K29" s="78"/>
      <c r="L29" s="78"/>
      <c r="M29" s="78"/>
      <c r="N29" s="78"/>
      <c r="O29" s="78"/>
      <c r="P29" s="67"/>
      <c r="Q29" s="67"/>
      <c r="R29" s="78"/>
      <c r="S29" s="71">
        <f>BICS6_Raw!$G71</f>
        <v>0</v>
      </c>
      <c r="T29" s="71">
        <f>BICS6_Reference!$G71</f>
        <v>0</v>
      </c>
      <c r="U29" s="75" t="e">
        <f t="shared" si="10"/>
        <v>#DIV/0!</v>
      </c>
      <c r="V29" s="70">
        <f>BICS6_Raw!$G87</f>
        <v>0</v>
      </c>
      <c r="W29" s="70">
        <f>BICS6_Reference!$G87</f>
        <v>0</v>
      </c>
      <c r="X29" s="73" t="e">
        <f t="shared" si="11"/>
        <v>#DIV/0!</v>
      </c>
      <c r="Y29" s="147">
        <f>BICS6_Raw!$G103</f>
        <v>0</v>
      </c>
      <c r="Z29" s="147">
        <f>BICS6_Reference!$G103</f>
        <v>6653.4196666666658</v>
      </c>
      <c r="AA29" s="149">
        <f t="shared" si="4"/>
        <v>-100</v>
      </c>
      <c r="AB29" s="68">
        <f>BICS6_Raw!$G119</f>
        <v>0</v>
      </c>
      <c r="AC29" s="68">
        <f>BICS6_Reference!$G119</f>
        <v>0</v>
      </c>
      <c r="AD29" s="76" t="e">
        <f t="shared" si="12"/>
        <v>#DIV/0!</v>
      </c>
      <c r="AE29" s="151"/>
      <c r="AF29" s="151"/>
      <c r="AG29" s="135"/>
      <c r="AH29" s="152"/>
      <c r="AI29" s="152"/>
      <c r="AJ29" s="134"/>
      <c r="AK29" s="152"/>
      <c r="AL29" s="152"/>
      <c r="AM29" s="134"/>
      <c r="AN29" s="151"/>
      <c r="AO29" s="151"/>
      <c r="AP29" s="135"/>
      <c r="AQ29" s="151"/>
      <c r="AR29" s="151"/>
      <c r="AS29" s="135"/>
      <c r="AT29" s="153"/>
      <c r="AU29" s="153"/>
      <c r="AV29" s="230"/>
    </row>
    <row r="30" spans="2:48" ht="18" customHeight="1">
      <c r="B30" s="335"/>
      <c r="C30" s="133" t="s">
        <v>165</v>
      </c>
      <c r="D30" s="67"/>
      <c r="E30" s="67"/>
      <c r="F30" s="78"/>
      <c r="G30" s="67"/>
      <c r="H30" s="67"/>
      <c r="I30" s="78"/>
      <c r="J30" s="79"/>
      <c r="K30" s="78"/>
      <c r="L30" s="78"/>
      <c r="M30" s="78"/>
      <c r="N30" s="78"/>
      <c r="O30" s="78"/>
      <c r="P30" s="67"/>
      <c r="Q30" s="67"/>
      <c r="R30" s="78"/>
      <c r="S30" s="71">
        <f>BICS6_Raw!$G68</f>
        <v>0</v>
      </c>
      <c r="T30" s="71">
        <f>BICS6_Reference!$G68</f>
        <v>0</v>
      </c>
      <c r="U30" s="75" t="e">
        <f t="shared" si="10"/>
        <v>#DIV/0!</v>
      </c>
      <c r="V30" s="70">
        <f>BICS6_Raw!$G84</f>
        <v>0</v>
      </c>
      <c r="W30" s="70">
        <f>BICS6_Reference!$G84</f>
        <v>0</v>
      </c>
      <c r="X30" s="73" t="e">
        <f t="shared" si="11"/>
        <v>#DIV/0!</v>
      </c>
      <c r="Y30" s="147">
        <f>BICS6_Raw!$G100</f>
        <v>0</v>
      </c>
      <c r="Z30" s="147">
        <f>BICS6_Reference!$G100</f>
        <v>1220231.5333333334</v>
      </c>
      <c r="AA30" s="149">
        <f t="shared" si="4"/>
        <v>-100</v>
      </c>
      <c r="AB30" s="68">
        <f>BICS6_Raw!$G116</f>
        <v>0</v>
      </c>
      <c r="AC30" s="68">
        <f>BICS6_Reference!$G116</f>
        <v>0</v>
      </c>
      <c r="AD30" s="76" t="e">
        <f t="shared" si="12"/>
        <v>#DIV/0!</v>
      </c>
      <c r="AE30" s="151"/>
      <c r="AF30" s="151"/>
      <c r="AG30" s="135"/>
      <c r="AH30" s="152"/>
      <c r="AI30" s="152"/>
      <c r="AJ30" s="134"/>
      <c r="AK30" s="152"/>
      <c r="AL30" s="152"/>
      <c r="AM30" s="134"/>
      <c r="AN30" s="151"/>
      <c r="AO30" s="151"/>
      <c r="AP30" s="135"/>
      <c r="AQ30" s="151"/>
      <c r="AR30" s="151"/>
      <c r="AS30" s="135"/>
      <c r="AT30" s="153"/>
      <c r="AU30" s="153"/>
      <c r="AV30" s="230"/>
    </row>
    <row r="31" spans="2:48" ht="18" customHeight="1">
      <c r="B31" s="335"/>
      <c r="C31" s="133" t="s">
        <v>166</v>
      </c>
      <c r="D31" s="67"/>
      <c r="E31" s="67"/>
      <c r="F31" s="78"/>
      <c r="G31" s="67"/>
      <c r="H31" s="67"/>
      <c r="I31" s="78"/>
      <c r="J31" s="79"/>
      <c r="K31" s="78"/>
      <c r="L31" s="78"/>
      <c r="M31" s="78"/>
      <c r="N31" s="78"/>
      <c r="O31" s="78"/>
      <c r="P31" s="67"/>
      <c r="Q31" s="67"/>
      <c r="R31" s="78"/>
      <c r="S31" s="71">
        <f>BICS6_Raw!$G72</f>
        <v>0</v>
      </c>
      <c r="T31" s="71">
        <f>BICS6_Reference!$G72</f>
        <v>0</v>
      </c>
      <c r="U31" s="75" t="e">
        <f t="shared" si="10"/>
        <v>#DIV/0!</v>
      </c>
      <c r="V31" s="70">
        <f>BICS6_Raw!$G88</f>
        <v>0</v>
      </c>
      <c r="W31" s="70">
        <f>BICS6_Reference!$G88</f>
        <v>0</v>
      </c>
      <c r="X31" s="73" t="e">
        <f t="shared" si="11"/>
        <v>#DIV/0!</v>
      </c>
      <c r="Y31" s="147">
        <f>BICS6_Raw!$G104</f>
        <v>0</v>
      </c>
      <c r="Z31" s="147">
        <f>BICS6_Reference!$G104</f>
        <v>1360928.3666666667</v>
      </c>
      <c r="AA31" s="149">
        <f t="shared" si="4"/>
        <v>-100</v>
      </c>
      <c r="AB31" s="68">
        <f>BICS6_Raw!$G120</f>
        <v>0</v>
      </c>
      <c r="AC31" s="68">
        <f>BICS6_Reference!$G120</f>
        <v>0</v>
      </c>
      <c r="AD31" s="76" t="e">
        <f t="shared" si="12"/>
        <v>#DIV/0!</v>
      </c>
      <c r="AE31" s="151"/>
      <c r="AF31" s="151"/>
      <c r="AG31" s="135"/>
      <c r="AH31" s="152"/>
      <c r="AI31" s="152"/>
      <c r="AJ31" s="134"/>
      <c r="AK31" s="152"/>
      <c r="AL31" s="152"/>
      <c r="AM31" s="134"/>
      <c r="AN31" s="151"/>
      <c r="AO31" s="151"/>
      <c r="AP31" s="135"/>
      <c r="AQ31" s="151"/>
      <c r="AR31" s="151"/>
      <c r="AS31" s="135"/>
      <c r="AT31" s="153"/>
      <c r="AU31" s="153"/>
      <c r="AV31" s="230"/>
    </row>
    <row r="32" spans="2:48" ht="18" customHeight="1">
      <c r="B32" s="335"/>
      <c r="C32" s="133" t="s">
        <v>167</v>
      </c>
      <c r="D32" s="67"/>
      <c r="E32" s="67"/>
      <c r="F32" s="78"/>
      <c r="G32" s="67"/>
      <c r="H32" s="67"/>
      <c r="I32" s="78"/>
      <c r="J32" s="79"/>
      <c r="K32" s="78"/>
      <c r="L32" s="78"/>
      <c r="M32" s="78"/>
      <c r="N32" s="78"/>
      <c r="O32" s="78"/>
      <c r="P32" s="67"/>
      <c r="Q32" s="67"/>
      <c r="R32" s="78"/>
      <c r="S32" s="71">
        <f>BICS6_Raw!$G69</f>
        <v>0</v>
      </c>
      <c r="T32" s="71">
        <f>BICS6_Reference!$G69</f>
        <v>0</v>
      </c>
      <c r="U32" s="75" t="e">
        <f t="shared" si="10"/>
        <v>#DIV/0!</v>
      </c>
      <c r="V32" s="70">
        <f>BICS6_Raw!$G85</f>
        <v>0</v>
      </c>
      <c r="W32" s="70">
        <f>BICS6_Reference!$G85</f>
        <v>0</v>
      </c>
      <c r="X32" s="73" t="e">
        <f t="shared" si="11"/>
        <v>#DIV/0!</v>
      </c>
      <c r="Y32" s="147">
        <f>BICS6_Raw!$G101</f>
        <v>0</v>
      </c>
      <c r="Z32" s="147">
        <f>BICS6_Reference!$G101</f>
        <v>23784.866666666669</v>
      </c>
      <c r="AA32" s="149">
        <f t="shared" si="4"/>
        <v>-100</v>
      </c>
      <c r="AB32" s="68">
        <f>BICS6_Raw!$G117</f>
        <v>0</v>
      </c>
      <c r="AC32" s="68">
        <f>BICS6_Reference!$G117</f>
        <v>0</v>
      </c>
      <c r="AD32" s="76" t="e">
        <f t="shared" si="12"/>
        <v>#DIV/0!</v>
      </c>
      <c r="AE32" s="151"/>
      <c r="AF32" s="151"/>
      <c r="AG32" s="135"/>
      <c r="AH32" s="152"/>
      <c r="AI32" s="152"/>
      <c r="AJ32" s="134"/>
      <c r="AK32" s="152"/>
      <c r="AL32" s="152"/>
      <c r="AM32" s="134"/>
      <c r="AN32" s="151"/>
      <c r="AO32" s="151"/>
      <c r="AP32" s="135"/>
      <c r="AQ32" s="151"/>
      <c r="AR32" s="151"/>
      <c r="AS32" s="135"/>
      <c r="AT32" s="153"/>
      <c r="AU32" s="153"/>
      <c r="AV32" s="230"/>
    </row>
    <row r="33" spans="2:52" ht="18" customHeight="1">
      <c r="B33" s="335"/>
      <c r="C33" s="159" t="s">
        <v>168</v>
      </c>
      <c r="D33" s="160"/>
      <c r="E33" s="160"/>
      <c r="F33" s="161"/>
      <c r="G33" s="160"/>
      <c r="H33" s="160"/>
      <c r="I33" s="161"/>
      <c r="J33" s="162"/>
      <c r="K33" s="161"/>
      <c r="L33" s="161"/>
      <c r="M33" s="161"/>
      <c r="N33" s="161"/>
      <c r="O33" s="161"/>
      <c r="P33" s="160"/>
      <c r="Q33" s="160"/>
      <c r="R33" s="161"/>
      <c r="S33" s="163">
        <f>BICS6_Raw!$G73</f>
        <v>0</v>
      </c>
      <c r="T33" s="163">
        <f>BICS6_Reference!$G73</f>
        <v>0</v>
      </c>
      <c r="U33" s="164" t="e">
        <f t="shared" si="10"/>
        <v>#DIV/0!</v>
      </c>
      <c r="V33" s="165">
        <f>BICS6_Raw!$G89</f>
        <v>0</v>
      </c>
      <c r="W33" s="165">
        <f>BICS6_Reference!$G89</f>
        <v>0</v>
      </c>
      <c r="X33" s="166" t="e">
        <f t="shared" si="11"/>
        <v>#DIV/0!</v>
      </c>
      <c r="Y33" s="167">
        <f>BICS6_Raw!$G105</f>
        <v>0</v>
      </c>
      <c r="Z33" s="167">
        <f>BICS6_Reference!$G105</f>
        <v>101155.60000000002</v>
      </c>
      <c r="AA33" s="168">
        <f t="shared" si="4"/>
        <v>-100</v>
      </c>
      <c r="AB33" s="169">
        <f>BICS6_Raw!$G121</f>
        <v>0</v>
      </c>
      <c r="AC33" s="169">
        <f>BICS6_Reference!$G121</f>
        <v>0</v>
      </c>
      <c r="AD33" s="170" t="e">
        <f t="shared" si="12"/>
        <v>#DIV/0!</v>
      </c>
      <c r="AE33" s="151"/>
      <c r="AF33" s="151"/>
      <c r="AG33" s="135"/>
      <c r="AH33" s="152"/>
      <c r="AI33" s="152"/>
      <c r="AJ33" s="134"/>
      <c r="AK33" s="152"/>
      <c r="AL33" s="152"/>
      <c r="AM33" s="134"/>
      <c r="AN33" s="151"/>
      <c r="AO33" s="151"/>
      <c r="AP33" s="135"/>
      <c r="AQ33" s="151"/>
      <c r="AR33" s="151"/>
      <c r="AS33" s="135"/>
      <c r="AT33" s="153"/>
      <c r="AU33" s="153"/>
      <c r="AV33" s="230"/>
    </row>
    <row r="34" spans="2:52" ht="15">
      <c r="B34" s="335"/>
      <c r="C34" s="159" t="s">
        <v>216</v>
      </c>
      <c r="D34" s="175"/>
      <c r="E34" s="175"/>
      <c r="F34" s="176"/>
      <c r="G34" s="175"/>
      <c r="H34" s="175"/>
      <c r="I34" s="176"/>
      <c r="J34" s="177"/>
      <c r="K34" s="176"/>
      <c r="L34" s="176"/>
      <c r="M34" s="176"/>
      <c r="N34" s="176"/>
      <c r="O34" s="176"/>
      <c r="P34" s="175"/>
      <c r="Q34" s="175"/>
      <c r="R34" s="176"/>
      <c r="S34" s="178">
        <f>BICS6_Raw!$G74</f>
        <v>0</v>
      </c>
      <c r="T34" s="178">
        <f>BICS6_Reference!$G74</f>
        <v>0</v>
      </c>
      <c r="U34" s="179" t="e">
        <f t="shared" si="10"/>
        <v>#DIV/0!</v>
      </c>
      <c r="V34" s="180">
        <f>BICS6_Raw!$G90</f>
        <v>0</v>
      </c>
      <c r="W34" s="180">
        <f>BICS6_Reference!$G90</f>
        <v>0</v>
      </c>
      <c r="X34" s="181" t="e">
        <f t="shared" si="11"/>
        <v>#DIV/0!</v>
      </c>
      <c r="Y34" s="174">
        <f>BICS6_Raw!$G106</f>
        <v>0</v>
      </c>
      <c r="Z34" s="174">
        <f>BICS6_Reference!$G106</f>
        <v>6619.7006666666675</v>
      </c>
      <c r="AA34" s="187">
        <f t="shared" si="4"/>
        <v>-100</v>
      </c>
      <c r="AB34" s="188">
        <f>BICS6_Raw!$G122</f>
        <v>0</v>
      </c>
      <c r="AC34" s="188">
        <f>BICS6_Reference!$G122</f>
        <v>0</v>
      </c>
      <c r="AD34" s="189" t="e">
        <f t="shared" si="12"/>
        <v>#DIV/0!</v>
      </c>
      <c r="AE34" s="151"/>
      <c r="AF34" s="151"/>
      <c r="AG34" s="135"/>
      <c r="AH34" s="152"/>
      <c r="AI34" s="152"/>
      <c r="AJ34" s="134"/>
      <c r="AK34" s="152"/>
      <c r="AL34" s="152"/>
      <c r="AM34" s="134"/>
      <c r="AN34" s="151"/>
      <c r="AO34" s="151"/>
      <c r="AP34" s="135"/>
      <c r="AQ34" s="151"/>
      <c r="AR34" s="151"/>
      <c r="AS34" s="135"/>
      <c r="AT34" s="153"/>
      <c r="AU34" s="153"/>
      <c r="AV34" s="230"/>
    </row>
    <row r="35" spans="2:52" ht="15">
      <c r="B35" s="335"/>
      <c r="C35" s="159" t="s">
        <v>241</v>
      </c>
      <c r="D35" s="67"/>
      <c r="E35" s="67"/>
      <c r="F35" s="78"/>
      <c r="G35" s="67"/>
      <c r="H35" s="67"/>
      <c r="I35" s="78"/>
      <c r="J35" s="79"/>
      <c r="K35" s="78"/>
      <c r="L35" s="78"/>
      <c r="M35" s="78"/>
      <c r="N35" s="78"/>
      <c r="O35" s="78"/>
      <c r="P35" s="67"/>
      <c r="Q35" s="67"/>
      <c r="R35" s="78"/>
      <c r="S35" s="178">
        <f>BICS6_Raw!$G75</f>
        <v>0</v>
      </c>
      <c r="T35" s="178">
        <f>BICS6_Reference!$G75</f>
        <v>0</v>
      </c>
      <c r="U35" s="75" t="e">
        <f t="shared" si="10"/>
        <v>#DIV/0!</v>
      </c>
      <c r="V35" s="70">
        <f>BICS6_Raw!$G91</f>
        <v>0</v>
      </c>
      <c r="W35" s="70">
        <f>BICS6_Reference!$G91</f>
        <v>0</v>
      </c>
      <c r="X35" s="73" t="e">
        <f t="shared" si="11"/>
        <v>#DIV/0!</v>
      </c>
      <c r="Y35" s="174">
        <f>BICS6_Raw!$G107</f>
        <v>0</v>
      </c>
      <c r="Z35" s="174">
        <f>BICS6_Reference!$G107</f>
        <v>6504.2813333333334</v>
      </c>
      <c r="AA35" s="149">
        <f t="shared" si="4"/>
        <v>-100</v>
      </c>
      <c r="AB35" s="188">
        <f>BICS6_Raw!$G123</f>
        <v>0</v>
      </c>
      <c r="AC35" s="188">
        <f>BICS6_Reference!$G123</f>
        <v>0</v>
      </c>
      <c r="AD35" s="76" t="e">
        <f t="shared" si="12"/>
        <v>#DIV/0!</v>
      </c>
      <c r="AE35" s="151"/>
      <c r="AF35" s="151"/>
      <c r="AG35" s="135"/>
      <c r="AH35" s="152"/>
      <c r="AI35" s="152"/>
      <c r="AJ35" s="134"/>
      <c r="AK35" s="152"/>
      <c r="AL35" s="152"/>
      <c r="AM35" s="134"/>
      <c r="AN35" s="151"/>
      <c r="AO35" s="151"/>
      <c r="AP35" s="135"/>
      <c r="AQ35" s="151"/>
      <c r="AR35" s="151"/>
      <c r="AS35" s="135"/>
      <c r="AT35" s="153"/>
      <c r="AU35" s="153"/>
      <c r="AV35" s="230"/>
    </row>
    <row r="36" spans="2:52" ht="15">
      <c r="B36" s="335"/>
      <c r="C36" s="159" t="s">
        <v>214</v>
      </c>
      <c r="D36" s="67"/>
      <c r="E36" s="67"/>
      <c r="F36" s="78"/>
      <c r="G36" s="67"/>
      <c r="H36" s="67"/>
      <c r="I36" s="78"/>
      <c r="J36" s="79"/>
      <c r="K36" s="78"/>
      <c r="L36" s="78"/>
      <c r="M36" s="78"/>
      <c r="N36" s="78"/>
      <c r="O36" s="78"/>
      <c r="P36" s="67"/>
      <c r="Q36" s="67"/>
      <c r="R36" s="78"/>
      <c r="S36" s="178">
        <f>BICS6_Raw!$G76</f>
        <v>0</v>
      </c>
      <c r="T36" s="178">
        <f>BICS6_Reference!$G76</f>
        <v>0</v>
      </c>
      <c r="U36" s="75" t="e">
        <f t="shared" si="10"/>
        <v>#DIV/0!</v>
      </c>
      <c r="V36" s="70">
        <f>BICS6_Raw!$G92</f>
        <v>0</v>
      </c>
      <c r="W36" s="70">
        <f>BICS6_Reference!$G92</f>
        <v>0</v>
      </c>
      <c r="X36" s="73" t="e">
        <f t="shared" si="11"/>
        <v>#DIV/0!</v>
      </c>
      <c r="Y36" s="174">
        <f>BICS6_Raw!$G108</f>
        <v>0</v>
      </c>
      <c r="Z36" s="174">
        <f>BICS6_Reference!$G108</f>
        <v>923539.56666666677</v>
      </c>
      <c r="AA36" s="149">
        <f t="shared" si="4"/>
        <v>-100</v>
      </c>
      <c r="AB36" s="188">
        <f>BICS6_Raw!$G124</f>
        <v>0</v>
      </c>
      <c r="AC36" s="188">
        <f>BICS6_Reference!$G124</f>
        <v>0</v>
      </c>
      <c r="AD36" s="76" t="e">
        <f t="shared" si="12"/>
        <v>#DIV/0!</v>
      </c>
      <c r="AE36" s="151"/>
      <c r="AF36" s="151"/>
      <c r="AG36" s="135"/>
      <c r="AH36" s="152"/>
      <c r="AI36" s="152"/>
      <c r="AJ36" s="134"/>
      <c r="AK36" s="152"/>
      <c r="AL36" s="152"/>
      <c r="AM36" s="134"/>
      <c r="AN36" s="151"/>
      <c r="AO36" s="151"/>
      <c r="AP36" s="135"/>
      <c r="AQ36" s="151"/>
      <c r="AR36" s="151"/>
      <c r="AS36" s="135"/>
      <c r="AT36" s="153"/>
      <c r="AU36" s="153"/>
      <c r="AV36" s="230"/>
    </row>
    <row r="37" spans="2:52" ht="15">
      <c r="B37" s="336"/>
      <c r="C37" s="159" t="s">
        <v>215</v>
      </c>
      <c r="D37" s="67"/>
      <c r="E37" s="67"/>
      <c r="F37" s="78"/>
      <c r="G37" s="67"/>
      <c r="H37" s="67"/>
      <c r="I37" s="78"/>
      <c r="J37" s="79"/>
      <c r="K37" s="78"/>
      <c r="L37" s="78"/>
      <c r="M37" s="78"/>
      <c r="N37" s="78"/>
      <c r="O37" s="78"/>
      <c r="P37" s="67"/>
      <c r="Q37" s="67"/>
      <c r="R37" s="78"/>
      <c r="S37" s="178">
        <f>BICS6_Raw!$G77</f>
        <v>0</v>
      </c>
      <c r="T37" s="178">
        <f>BICS6_Reference!$G77</f>
        <v>0</v>
      </c>
      <c r="U37" s="75" t="e">
        <f t="shared" si="10"/>
        <v>#DIV/0!</v>
      </c>
      <c r="V37" s="70">
        <f>BICS6_Raw!$G93</f>
        <v>0</v>
      </c>
      <c r="W37" s="70">
        <f>BICS6_Reference!$G93</f>
        <v>0</v>
      </c>
      <c r="X37" s="73" t="e">
        <f t="shared" si="11"/>
        <v>#DIV/0!</v>
      </c>
      <c r="Y37" s="174">
        <f>BICS6_Raw!$G109</f>
        <v>0</v>
      </c>
      <c r="Z37" s="174">
        <f>BICS6_Reference!$G109</f>
        <v>25733.966666666664</v>
      </c>
      <c r="AA37" s="149">
        <f t="shared" si="4"/>
        <v>-100</v>
      </c>
      <c r="AB37" s="188">
        <f>BICS6_Raw!$G125</f>
        <v>0</v>
      </c>
      <c r="AC37" s="188">
        <f>BICS6_Reference!$G125</f>
        <v>0</v>
      </c>
      <c r="AD37" s="76" t="e">
        <f t="shared" si="12"/>
        <v>#DIV/0!</v>
      </c>
      <c r="AE37" s="231"/>
      <c r="AF37" s="231"/>
      <c r="AG37" s="232"/>
      <c r="AH37" s="233"/>
      <c r="AI37" s="233"/>
      <c r="AJ37" s="157"/>
      <c r="AK37" s="233"/>
      <c r="AL37" s="233"/>
      <c r="AM37" s="157"/>
      <c r="AN37" s="231"/>
      <c r="AO37" s="231"/>
      <c r="AP37" s="232"/>
      <c r="AQ37" s="231"/>
      <c r="AR37" s="231"/>
      <c r="AS37" s="232"/>
      <c r="AT37" s="158"/>
      <c r="AU37" s="158"/>
      <c r="AV37" s="234"/>
    </row>
    <row r="38" spans="2:52" ht="6.75" customHeight="1">
      <c r="B38" s="332"/>
      <c r="C38" s="333"/>
      <c r="D38" s="333"/>
      <c r="E38" s="333"/>
      <c r="F38" s="333"/>
      <c r="G38" s="333"/>
      <c r="H38" s="333"/>
      <c r="I38" s="333"/>
      <c r="J38" s="333"/>
      <c r="K38" s="333"/>
      <c r="L38" s="333"/>
      <c r="M38" s="333"/>
      <c r="N38" s="333"/>
      <c r="O38" s="333"/>
      <c r="P38" s="333"/>
      <c r="Q38" s="333"/>
      <c r="R38" s="333"/>
      <c r="S38" s="333"/>
      <c r="T38" s="333"/>
      <c r="U38" s="333"/>
      <c r="V38" s="333"/>
      <c r="W38" s="333"/>
      <c r="X38" s="333"/>
      <c r="Y38" s="333"/>
      <c r="Z38" s="333"/>
      <c r="AA38" s="333"/>
      <c r="AB38" s="333"/>
      <c r="AC38" s="333"/>
      <c r="AD38" s="333"/>
      <c r="AE38" s="151"/>
      <c r="AF38" s="151"/>
      <c r="AG38" s="135"/>
      <c r="AH38" s="152"/>
      <c r="AI38" s="152"/>
      <c r="AJ38" s="134"/>
      <c r="AK38" s="152"/>
      <c r="AL38" s="152"/>
      <c r="AM38" s="134"/>
      <c r="AN38" s="151"/>
      <c r="AO38" s="151"/>
      <c r="AP38" s="135"/>
      <c r="AQ38" s="151"/>
      <c r="AR38" s="151"/>
      <c r="AS38" s="135"/>
      <c r="AT38" s="153"/>
      <c r="AU38" s="153"/>
      <c r="AV38" s="135"/>
    </row>
    <row r="39" spans="2:52" ht="58.5" hidden="1" customHeight="1">
      <c r="B39" s="318" t="s">
        <v>205</v>
      </c>
      <c r="C39" s="319"/>
      <c r="D39" s="66"/>
      <c r="G39" s="66"/>
      <c r="S39" s="136"/>
      <c r="T39" s="136">
        <v>519.12</v>
      </c>
      <c r="U39" s="75">
        <f>((S39-T39)/T39)*100</f>
        <v>-100</v>
      </c>
      <c r="V39" s="141">
        <v>1314.14</v>
      </c>
      <c r="W39" s="141">
        <v>1309.93</v>
      </c>
      <c r="X39" s="73">
        <f>((V39-W39)/W39)*100</f>
        <v>0.32139121937813747</v>
      </c>
      <c r="Y39" s="148">
        <v>2320.52</v>
      </c>
      <c r="Z39" s="148">
        <v>2321.2600000000002</v>
      </c>
      <c r="AA39" s="149">
        <f>((Y39-Z39)/Z39)*100</f>
        <v>-3.1879238000061878E-2</v>
      </c>
      <c r="AB39" s="137">
        <v>2514.69</v>
      </c>
      <c r="AC39" s="137">
        <v>2499.16</v>
      </c>
      <c r="AD39" s="76">
        <f>((AB39-AC39)/AC39)*100</f>
        <v>0.62140879335457522</v>
      </c>
      <c r="AW39" s="140"/>
      <c r="AZ39" s="1" t="s">
        <v>224</v>
      </c>
    </row>
    <row r="41" spans="2:52">
      <c r="D41" s="66"/>
      <c r="G41" s="66"/>
    </row>
    <row r="42" spans="2:52">
      <c r="D42" s="66"/>
      <c r="G42" s="66"/>
    </row>
    <row r="45" spans="2:52" ht="15">
      <c r="F45" s="63"/>
    </row>
  </sheetData>
  <mergeCells count="57">
    <mergeCell ref="S5:AD5"/>
    <mergeCell ref="V4:X4"/>
    <mergeCell ref="AB4:AD4"/>
    <mergeCell ref="AT7:AV7"/>
    <mergeCell ref="AT6:AV6"/>
    <mergeCell ref="AH7:AM7"/>
    <mergeCell ref="AN7:AS7"/>
    <mergeCell ref="AN6:AS6"/>
    <mergeCell ref="AH6:AM6"/>
    <mergeCell ref="D6:I6"/>
    <mergeCell ref="D7:I7"/>
    <mergeCell ref="AB7:AD7"/>
    <mergeCell ref="V7:X7"/>
    <mergeCell ref="AE7:AG7"/>
    <mergeCell ref="J6:O6"/>
    <mergeCell ref="AT9:AV9"/>
    <mergeCell ref="AE9:AG9"/>
    <mergeCell ref="AK9:AM9"/>
    <mergeCell ref="AN9:AP9"/>
    <mergeCell ref="AE8:AG8"/>
    <mergeCell ref="AH8:AM8"/>
    <mergeCell ref="AN8:AS8"/>
    <mergeCell ref="B2:C3"/>
    <mergeCell ref="B4:C4"/>
    <mergeCell ref="B5:C5"/>
    <mergeCell ref="B6:C6"/>
    <mergeCell ref="B7:C7"/>
    <mergeCell ref="B39:C39"/>
    <mergeCell ref="B9:C9"/>
    <mergeCell ref="P10:R10"/>
    <mergeCell ref="B11:C11"/>
    <mergeCell ref="B12:C12"/>
    <mergeCell ref="D10:G10"/>
    <mergeCell ref="J9:L9"/>
    <mergeCell ref="M9:O9"/>
    <mergeCell ref="B10:C10"/>
    <mergeCell ref="B25:AD25"/>
    <mergeCell ref="B13:B24"/>
    <mergeCell ref="B38:AD38"/>
    <mergeCell ref="B26:B37"/>
    <mergeCell ref="D9:F9"/>
    <mergeCell ref="G9:I9"/>
    <mergeCell ref="B8:C8"/>
    <mergeCell ref="Y7:AA7"/>
    <mergeCell ref="S7:U7"/>
    <mergeCell ref="AN10:AS10"/>
    <mergeCell ref="AH9:AJ9"/>
    <mergeCell ref="AE10:AG10"/>
    <mergeCell ref="AH10:AK10"/>
    <mergeCell ref="AQ9:AS9"/>
    <mergeCell ref="P9:R9"/>
    <mergeCell ref="J7:O7"/>
    <mergeCell ref="P7:R7"/>
    <mergeCell ref="P8:R8"/>
    <mergeCell ref="S9:U9"/>
    <mergeCell ref="V9:X9"/>
    <mergeCell ref="AB9:AD9"/>
  </mergeCells>
  <phoneticPr fontId="26" type="noConversion"/>
  <conditionalFormatting sqref="R13:R24 R26:R37 AG13:AG37 AP13:AP37 AS13:AS37 AJ13:AJ37 AM13:AM37 AV13:AV37 AD13:AD24 AD26:AD37">
    <cfRule type="cellIs" dxfId="31" priority="132" operator="greaterThanOrEqual">
      <formula>2.95</formula>
    </cfRule>
  </conditionalFormatting>
  <conditionalFormatting sqref="R13:R24 R26:R37 AG13:AG37 AP13:AP37 AS13:AS37 AJ13:AJ37 AM13:AM37 AV13:AV37 AD13:AD24 AD26:AD37">
    <cfRule type="cellIs" dxfId="30" priority="131" operator="lessThanOrEqual">
      <formula>-2.95</formula>
    </cfRule>
  </conditionalFormatting>
  <conditionalFormatting sqref="F13:F24 F26:F37">
    <cfRule type="cellIs" dxfId="29" priority="82" operator="greaterThanOrEqual">
      <formula>2.95</formula>
    </cfRule>
  </conditionalFormatting>
  <conditionalFormatting sqref="F13:F24 F26:F37">
    <cfRule type="cellIs" dxfId="28" priority="81" operator="lessThanOrEqual">
      <formula>-2.95</formula>
    </cfRule>
  </conditionalFormatting>
  <conditionalFormatting sqref="I17:O24 I13:I16 L13:L16 O13:O16 I26:O37">
    <cfRule type="cellIs" dxfId="27" priority="78" operator="greaterThanOrEqual">
      <formula>2.95</formula>
    </cfRule>
  </conditionalFormatting>
  <conditionalFormatting sqref="I17:O24 I13:I16 L13:L16 O13:O16 I26:O37">
    <cfRule type="cellIs" dxfId="26" priority="77" operator="lessThanOrEqual">
      <formula>-2.95</formula>
    </cfRule>
  </conditionalFormatting>
  <conditionalFormatting sqref="AD39">
    <cfRule type="cellIs" dxfId="25" priority="32" operator="greaterThanOrEqual">
      <formula>2.95</formula>
    </cfRule>
  </conditionalFormatting>
  <conditionalFormatting sqref="AD39">
    <cfRule type="cellIs" dxfId="24" priority="31" operator="lessThanOrEqual">
      <formula>-2.95</formula>
    </cfRule>
  </conditionalFormatting>
  <conditionalFormatting sqref="U39">
    <cfRule type="cellIs" dxfId="23" priority="26" operator="greaterThanOrEqual">
      <formula>2.95</formula>
    </cfRule>
  </conditionalFormatting>
  <conditionalFormatting sqref="U39">
    <cfRule type="cellIs" dxfId="22" priority="25" operator="lessThanOrEqual">
      <formula>-2.95</formula>
    </cfRule>
  </conditionalFormatting>
  <conditionalFormatting sqref="U26:U37 U13:U24">
    <cfRule type="cellIs" dxfId="21" priority="24" operator="greaterThanOrEqual">
      <formula>2.95</formula>
    </cfRule>
  </conditionalFormatting>
  <conditionalFormatting sqref="U26:U37 U13:U24">
    <cfRule type="cellIs" dxfId="20" priority="23" operator="lessThanOrEqual">
      <formula>-2.95</formula>
    </cfRule>
  </conditionalFormatting>
  <conditionalFormatting sqref="X13:X24 X26:X37">
    <cfRule type="cellIs" dxfId="19" priority="20" operator="greaterThanOrEqual">
      <formula>2.95</formula>
    </cfRule>
  </conditionalFormatting>
  <conditionalFormatting sqref="X13:X24 X26:X37">
    <cfRule type="cellIs" dxfId="18" priority="19" operator="lessThanOrEqual">
      <formula>-2.95</formula>
    </cfRule>
  </conditionalFormatting>
  <conditionalFormatting sqref="X39">
    <cfRule type="cellIs" dxfId="17" priority="18" operator="greaterThanOrEqual">
      <formula>2.95</formula>
    </cfRule>
  </conditionalFormatting>
  <conditionalFormatting sqref="X39">
    <cfRule type="cellIs" dxfId="16" priority="17" operator="lessThanOrEqual">
      <formula>-2.95</formula>
    </cfRule>
  </conditionalFormatting>
  <conditionalFormatting sqref="AA13:AA24 AA26:AA37">
    <cfRule type="cellIs" dxfId="15" priority="16" operator="greaterThanOrEqual">
      <formula>2.95</formula>
    </cfRule>
  </conditionalFormatting>
  <conditionalFormatting sqref="AA13:AA24 AA26:AA37">
    <cfRule type="cellIs" dxfId="14" priority="15" operator="lessThanOrEqual">
      <formula>-2.95</formula>
    </cfRule>
  </conditionalFormatting>
  <conditionalFormatting sqref="AA39">
    <cfRule type="cellIs" dxfId="13" priority="14" operator="greaterThanOrEqual">
      <formula>2.95</formula>
    </cfRule>
  </conditionalFormatting>
  <conditionalFormatting sqref="AA39">
    <cfRule type="cellIs" dxfId="12" priority="13" operator="lessThanOrEqual">
      <formula>-2.95</formula>
    </cfRule>
  </conditionalFormatting>
  <conditionalFormatting sqref="AG38">
    <cfRule type="cellIs" dxfId="11" priority="12" operator="greaterThanOrEqual">
      <formula>2.95</formula>
    </cfRule>
  </conditionalFormatting>
  <conditionalFormatting sqref="AG38">
    <cfRule type="cellIs" dxfId="10" priority="11" operator="lessThanOrEqual">
      <formula>-2.95</formula>
    </cfRule>
  </conditionalFormatting>
  <conditionalFormatting sqref="AP38">
    <cfRule type="cellIs" dxfId="9" priority="10" operator="greaterThanOrEqual">
      <formula>2.95</formula>
    </cfRule>
  </conditionalFormatting>
  <conditionalFormatting sqref="AP38">
    <cfRule type="cellIs" dxfId="8" priority="9" operator="lessThanOrEqual">
      <formula>-2.95</formula>
    </cfRule>
  </conditionalFormatting>
  <conditionalFormatting sqref="AS38">
    <cfRule type="cellIs" dxfId="7" priority="8" operator="greaterThanOrEqual">
      <formula>2.95</formula>
    </cfRule>
  </conditionalFormatting>
  <conditionalFormatting sqref="AS38">
    <cfRule type="cellIs" dxfId="6" priority="7" operator="lessThanOrEqual">
      <formula>-2.95</formula>
    </cfRule>
  </conditionalFormatting>
  <conditionalFormatting sqref="AJ38">
    <cfRule type="cellIs" dxfId="5" priority="6" operator="greaterThanOrEqual">
      <formula>2.95</formula>
    </cfRule>
  </conditionalFormatting>
  <conditionalFormatting sqref="AJ38">
    <cfRule type="cellIs" dxfId="4" priority="5" operator="lessThanOrEqual">
      <formula>-2.95</formula>
    </cfRule>
  </conditionalFormatting>
  <conditionalFormatting sqref="AM38">
    <cfRule type="cellIs" dxfId="3" priority="4" operator="greaterThanOrEqual">
      <formula>2.95</formula>
    </cfRule>
  </conditionalFormatting>
  <conditionalFormatting sqref="AM38">
    <cfRule type="cellIs" dxfId="2" priority="3" operator="lessThanOrEqual">
      <formula>-2.95</formula>
    </cfRule>
  </conditionalFormatting>
  <conditionalFormatting sqref="AV38">
    <cfRule type="cellIs" dxfId="1" priority="2" operator="greaterThanOrEqual">
      <formula>2.95</formula>
    </cfRule>
  </conditionalFormatting>
  <conditionalFormatting sqref="AV38">
    <cfRule type="cellIs" dxfId="0" priority="1" operator="lessThanOrEqual">
      <formula>-2.95</formula>
    </cfRule>
  </conditionalFormatting>
  <hyperlinks>
    <hyperlink ref="W11" r:id="rId1" xr:uid="{00000000-0004-0000-0300-000000000000}"/>
    <hyperlink ref="AC11" r:id="rId2" display="\\usg-op-fpgcss01.wdc.com\fpgcss_ci\atlas3\Firmware\Releases\Unofficial_Builds\05900_c10da90a\05900AKO" xr:uid="{43AE7D14-5C7F-4001-B405-DFDD5A792EDC}"/>
    <hyperlink ref="AB11" r:id="rId3" xr:uid="{A2F0D8E6-8137-4D7D-88C6-EF8ED7519F12}"/>
    <hyperlink ref="Z11" r:id="rId4" xr:uid="{C58D8A46-F87E-4402-AE80-4CF85EAACBA7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7"/>
  </sheetPr>
  <dimension ref="B1:R251"/>
  <sheetViews>
    <sheetView topLeftCell="A82" zoomScale="90" zoomScaleNormal="90" workbookViewId="0">
      <selection activeCell="K108" sqref="K108"/>
    </sheetView>
  </sheetViews>
  <sheetFormatPr defaultRowHeight="15"/>
  <cols>
    <col min="2" max="2" width="14.5703125" customWidth="1"/>
    <col min="3" max="3" width="34.140625" bestFit="1" customWidth="1"/>
    <col min="4" max="6" width="10.5703125" customWidth="1"/>
    <col min="7" max="7" width="12.140625" bestFit="1" customWidth="1"/>
    <col min="8" max="10" width="10.5703125" customWidth="1"/>
    <col min="14" max="14" width="25.42578125" customWidth="1"/>
    <col min="15" max="15" width="14.5703125" customWidth="1"/>
  </cols>
  <sheetData>
    <row r="1" spans="3:15" ht="23.25">
      <c r="C1" s="2" t="s">
        <v>127</v>
      </c>
      <c r="O1" s="2" t="s">
        <v>126</v>
      </c>
    </row>
    <row r="3" spans="3:15" ht="16.5" hidden="1" customHeight="1" thickBot="1">
      <c r="C3" s="3" t="s">
        <v>150</v>
      </c>
      <c r="D3" s="281" t="s">
        <v>61</v>
      </c>
      <c r="E3" s="282"/>
      <c r="F3" s="282"/>
      <c r="G3" s="282"/>
      <c r="H3" s="282"/>
      <c r="I3" s="282"/>
      <c r="J3" s="283"/>
      <c r="O3" s="74"/>
    </row>
    <row r="4" spans="3:15" ht="16.5" hidden="1" customHeight="1">
      <c r="C4" s="4" t="s">
        <v>4</v>
      </c>
      <c r="D4" s="278"/>
      <c r="E4" s="279"/>
      <c r="F4" s="279"/>
      <c r="G4" s="279"/>
      <c r="H4" s="279"/>
      <c r="I4" s="279"/>
      <c r="J4" s="280"/>
    </row>
    <row r="5" spans="3:15" ht="16.5" hidden="1" customHeight="1">
      <c r="C5" s="4" t="s">
        <v>5</v>
      </c>
      <c r="D5" s="5" t="s">
        <v>6</v>
      </c>
      <c r="E5" s="5" t="s">
        <v>7</v>
      </c>
      <c r="F5" s="5" t="s">
        <v>8</v>
      </c>
      <c r="G5" s="5" t="s">
        <v>9</v>
      </c>
      <c r="H5" s="5" t="s">
        <v>10</v>
      </c>
      <c r="I5" s="5" t="s">
        <v>11</v>
      </c>
      <c r="J5" s="6" t="s">
        <v>12</v>
      </c>
    </row>
    <row r="6" spans="3:15" hidden="1">
      <c r="C6" s="27" t="s">
        <v>45</v>
      </c>
      <c r="D6" s="20"/>
      <c r="E6" s="20"/>
      <c r="F6" s="20"/>
      <c r="G6" s="9" t="e">
        <f t="shared" ref="G6:G13" si="0">AVERAGE(D6:F6)</f>
        <v>#DIV/0!</v>
      </c>
      <c r="H6" s="10">
        <f t="shared" ref="H6:H13" si="1">MAX(D6:F6)</f>
        <v>0</v>
      </c>
      <c r="I6" s="8">
        <f t="shared" ref="I6:I13" si="2">MIN(D6:F6)</f>
        <v>0</v>
      </c>
      <c r="J6" s="11" t="e">
        <f t="shared" ref="J6:J13" si="3">_xlfn.STDEV.P(D6:F6)</f>
        <v>#DIV/0!</v>
      </c>
    </row>
    <row r="7" spans="3:15" hidden="1">
      <c r="C7" s="7" t="s">
        <v>46</v>
      </c>
      <c r="D7" s="20"/>
      <c r="E7" s="20"/>
      <c r="F7" s="20"/>
      <c r="G7" s="9" t="e">
        <f t="shared" si="0"/>
        <v>#DIV/0!</v>
      </c>
      <c r="H7" s="10">
        <f t="shared" si="1"/>
        <v>0</v>
      </c>
      <c r="I7" s="8">
        <f t="shared" si="2"/>
        <v>0</v>
      </c>
      <c r="J7" s="11" t="e">
        <f t="shared" si="3"/>
        <v>#DIV/0!</v>
      </c>
    </row>
    <row r="8" spans="3:15" hidden="1">
      <c r="C8" s="7" t="s">
        <v>64</v>
      </c>
      <c r="D8" s="20"/>
      <c r="E8" s="20"/>
      <c r="F8" s="20"/>
      <c r="G8" s="9" t="e">
        <f t="shared" si="0"/>
        <v>#DIV/0!</v>
      </c>
      <c r="H8" s="10">
        <f t="shared" si="1"/>
        <v>0</v>
      </c>
      <c r="I8" s="8">
        <f t="shared" si="2"/>
        <v>0</v>
      </c>
      <c r="J8" s="11" t="e">
        <f t="shared" si="3"/>
        <v>#DIV/0!</v>
      </c>
    </row>
    <row r="9" spans="3:15" hidden="1">
      <c r="C9" s="7" t="s">
        <v>63</v>
      </c>
      <c r="D9" s="20"/>
      <c r="E9" s="20"/>
      <c r="F9" s="20"/>
      <c r="G9" s="9" t="e">
        <f t="shared" si="0"/>
        <v>#DIV/0!</v>
      </c>
      <c r="H9" s="10">
        <f t="shared" si="1"/>
        <v>0</v>
      </c>
      <c r="I9" s="8">
        <f t="shared" si="2"/>
        <v>0</v>
      </c>
      <c r="J9" s="11" t="e">
        <f t="shared" si="3"/>
        <v>#DIV/0!</v>
      </c>
    </row>
    <row r="10" spans="3:15" hidden="1">
      <c r="C10" s="7" t="s">
        <v>146</v>
      </c>
      <c r="D10" s="20"/>
      <c r="E10" s="20"/>
      <c r="F10" s="20"/>
      <c r="G10" s="12" t="e">
        <f>AVERAGE(D10:F10)</f>
        <v>#DIV/0!</v>
      </c>
      <c r="H10" s="10">
        <f t="shared" si="1"/>
        <v>0</v>
      </c>
      <c r="I10" s="8">
        <f t="shared" si="2"/>
        <v>0</v>
      </c>
      <c r="J10" s="11" t="e">
        <f t="shared" si="3"/>
        <v>#DIV/0!</v>
      </c>
    </row>
    <row r="11" spans="3:15" hidden="1">
      <c r="C11" s="7" t="s">
        <v>147</v>
      </c>
      <c r="D11" s="20"/>
      <c r="E11" s="20"/>
      <c r="F11" s="20"/>
      <c r="G11" s="12" t="e">
        <f t="shared" si="0"/>
        <v>#DIV/0!</v>
      </c>
      <c r="H11" s="10">
        <f t="shared" si="1"/>
        <v>0</v>
      </c>
      <c r="I11" s="8">
        <f t="shared" si="2"/>
        <v>0</v>
      </c>
      <c r="J11" s="11" t="e">
        <f t="shared" si="3"/>
        <v>#DIV/0!</v>
      </c>
    </row>
    <row r="12" spans="3:15" hidden="1">
      <c r="C12" s="92" t="s">
        <v>149</v>
      </c>
      <c r="D12" s="20"/>
      <c r="E12" s="20"/>
      <c r="F12" s="54"/>
      <c r="G12" s="12" t="e">
        <f t="shared" si="0"/>
        <v>#DIV/0!</v>
      </c>
      <c r="H12" s="10">
        <f t="shared" si="1"/>
        <v>0</v>
      </c>
      <c r="I12" s="8">
        <f t="shared" si="2"/>
        <v>0</v>
      </c>
      <c r="J12" s="11" t="e">
        <f t="shared" si="3"/>
        <v>#DIV/0!</v>
      </c>
    </row>
    <row r="13" spans="3:15" ht="15.75" hidden="1" thickBot="1">
      <c r="C13" s="13" t="s">
        <v>148</v>
      </c>
      <c r="D13" s="14"/>
      <c r="E13" s="14"/>
      <c r="F13" s="14"/>
      <c r="G13" s="15" t="e">
        <f t="shared" si="0"/>
        <v>#DIV/0!</v>
      </c>
      <c r="H13" s="16">
        <f t="shared" si="1"/>
        <v>0</v>
      </c>
      <c r="I13" s="14">
        <f t="shared" si="2"/>
        <v>0</v>
      </c>
      <c r="J13" s="17" t="e">
        <f t="shared" si="3"/>
        <v>#DIV/0!</v>
      </c>
    </row>
    <row r="14" spans="3:15" ht="25.9" hidden="1" customHeight="1" thickBot="1"/>
    <row r="15" spans="3:15" ht="15.75" hidden="1" thickBot="1">
      <c r="C15" s="3" t="s">
        <v>150</v>
      </c>
      <c r="D15" s="281" t="s">
        <v>61</v>
      </c>
      <c r="E15" s="282"/>
      <c r="F15" s="282"/>
      <c r="G15" s="282"/>
      <c r="H15" s="282"/>
      <c r="I15" s="282"/>
      <c r="J15" s="283"/>
      <c r="O15" s="74">
        <v>468.56344300000001</v>
      </c>
    </row>
    <row r="16" spans="3:15" hidden="1">
      <c r="C16" s="4" t="s">
        <v>4</v>
      </c>
      <c r="D16" s="278"/>
      <c r="E16" s="279"/>
      <c r="F16" s="279"/>
      <c r="G16" s="279"/>
      <c r="H16" s="279"/>
      <c r="I16" s="279"/>
      <c r="J16" s="280"/>
    </row>
    <row r="17" spans="2:15" hidden="1">
      <c r="C17" s="4" t="s">
        <v>5</v>
      </c>
      <c r="D17" s="5">
        <v>80359.899999999994</v>
      </c>
      <c r="E17" s="5" t="s">
        <v>7</v>
      </c>
      <c r="F17" s="5" t="s">
        <v>8</v>
      </c>
      <c r="G17" s="5" t="s">
        <v>9</v>
      </c>
      <c r="H17" s="5" t="s">
        <v>10</v>
      </c>
      <c r="I17" s="5" t="s">
        <v>11</v>
      </c>
      <c r="J17" s="6" t="s">
        <v>12</v>
      </c>
    </row>
    <row r="18" spans="2:15" hidden="1">
      <c r="C18" s="7" t="s">
        <v>45</v>
      </c>
      <c r="D18" s="8"/>
      <c r="E18" s="8"/>
      <c r="F18" s="8"/>
      <c r="G18" s="9" t="e">
        <f>AVERAGE(D18:F18)</f>
        <v>#DIV/0!</v>
      </c>
      <c r="H18" s="10">
        <f>MAX(D18:F18)</f>
        <v>0</v>
      </c>
      <c r="I18" s="8">
        <f>MIN(D18:F18)</f>
        <v>0</v>
      </c>
      <c r="J18" s="11" t="e">
        <f>_xlfn.STDEV.P(D18:F18)</f>
        <v>#DIV/0!</v>
      </c>
    </row>
    <row r="19" spans="2:15" hidden="1">
      <c r="C19" s="7" t="s">
        <v>46</v>
      </c>
      <c r="D19" s="8"/>
      <c r="E19" s="8"/>
      <c r="F19" s="8"/>
      <c r="G19" s="9" t="e">
        <f t="shared" ref="G19:G24" si="4">AVERAGE(D19:F19)</f>
        <v>#DIV/0!</v>
      </c>
      <c r="H19" s="10">
        <f t="shared" ref="H19:H25" si="5">MAX(D19:F19)</f>
        <v>0</v>
      </c>
      <c r="I19" s="8">
        <f t="shared" ref="I19:I25" si="6">MIN(D19:F19)</f>
        <v>0</v>
      </c>
      <c r="J19" s="11" t="e">
        <f t="shared" ref="J19:J25" si="7">_xlfn.STDEV.P(D19:F19)</f>
        <v>#DIV/0!</v>
      </c>
    </row>
    <row r="20" spans="2:15" hidden="1">
      <c r="C20" s="7" t="s">
        <v>64</v>
      </c>
      <c r="D20" s="8"/>
      <c r="E20" s="8"/>
      <c r="F20" s="8"/>
      <c r="G20" s="9" t="e">
        <f t="shared" si="4"/>
        <v>#DIV/0!</v>
      </c>
      <c r="H20" s="10">
        <f t="shared" si="5"/>
        <v>0</v>
      </c>
      <c r="I20" s="8">
        <f t="shared" si="6"/>
        <v>0</v>
      </c>
      <c r="J20" s="11" t="e">
        <f t="shared" si="7"/>
        <v>#DIV/0!</v>
      </c>
    </row>
    <row r="21" spans="2:15" hidden="1">
      <c r="C21" s="7" t="s">
        <v>63</v>
      </c>
      <c r="D21" s="8"/>
      <c r="E21" s="8"/>
      <c r="F21" s="8"/>
      <c r="G21" s="9" t="e">
        <f t="shared" si="4"/>
        <v>#DIV/0!</v>
      </c>
      <c r="H21" s="10">
        <f t="shared" si="5"/>
        <v>0</v>
      </c>
      <c r="I21" s="8">
        <f t="shared" si="6"/>
        <v>0</v>
      </c>
      <c r="J21" s="11" t="e">
        <f t="shared" si="7"/>
        <v>#DIV/0!</v>
      </c>
    </row>
    <row r="22" spans="2:15" hidden="1">
      <c r="B22" s="94"/>
      <c r="C22" s="7" t="s">
        <v>146</v>
      </c>
      <c r="D22" s="8"/>
      <c r="E22" s="8"/>
      <c r="F22" s="8"/>
      <c r="G22" s="9" t="e">
        <f t="shared" si="4"/>
        <v>#DIV/0!</v>
      </c>
      <c r="H22" s="10">
        <f t="shared" si="5"/>
        <v>0</v>
      </c>
      <c r="I22" s="8">
        <f t="shared" si="6"/>
        <v>0</v>
      </c>
      <c r="J22" s="11" t="e">
        <f t="shared" si="7"/>
        <v>#DIV/0!</v>
      </c>
    </row>
    <row r="23" spans="2:15" hidden="1">
      <c r="C23" s="7" t="s">
        <v>147</v>
      </c>
      <c r="D23" s="8"/>
      <c r="E23" s="8"/>
      <c r="F23" s="8"/>
      <c r="G23" s="9" t="e">
        <f t="shared" si="4"/>
        <v>#DIV/0!</v>
      </c>
      <c r="H23" s="10">
        <f t="shared" si="5"/>
        <v>0</v>
      </c>
      <c r="I23" s="8">
        <f t="shared" si="6"/>
        <v>0</v>
      </c>
      <c r="J23" s="11" t="e">
        <f t="shared" si="7"/>
        <v>#DIV/0!</v>
      </c>
    </row>
    <row r="24" spans="2:15" hidden="1">
      <c r="C24" s="92" t="s">
        <v>149</v>
      </c>
      <c r="D24" s="62"/>
      <c r="E24" s="8"/>
      <c r="F24" s="8"/>
      <c r="G24" s="9" t="e">
        <f t="shared" si="4"/>
        <v>#DIV/0!</v>
      </c>
      <c r="H24" s="10">
        <f t="shared" si="5"/>
        <v>0</v>
      </c>
      <c r="I24" s="8">
        <f t="shared" si="6"/>
        <v>0</v>
      </c>
      <c r="J24" s="11" t="e">
        <f t="shared" si="7"/>
        <v>#DIV/0!</v>
      </c>
    </row>
    <row r="25" spans="2:15" ht="15.75" hidden="1" thickBot="1">
      <c r="C25" s="13" t="s">
        <v>148</v>
      </c>
      <c r="D25" s="14"/>
      <c r="E25" s="14"/>
      <c r="F25" s="14"/>
      <c r="G25" s="50" t="e">
        <f>AVERAGE(D25:F25)</f>
        <v>#DIV/0!</v>
      </c>
      <c r="H25" s="16">
        <f t="shared" si="5"/>
        <v>0</v>
      </c>
      <c r="I25" s="14">
        <f t="shared" si="6"/>
        <v>0</v>
      </c>
      <c r="J25" s="17" t="e">
        <f t="shared" si="7"/>
        <v>#DIV/0!</v>
      </c>
    </row>
    <row r="26" spans="2:15" ht="15.75" hidden="1" thickBot="1"/>
    <row r="27" spans="2:15" ht="15.75" hidden="1" thickBot="1">
      <c r="C27" s="3" t="s">
        <v>150</v>
      </c>
      <c r="D27" s="281" t="s">
        <v>61</v>
      </c>
      <c r="E27" s="282"/>
      <c r="F27" s="282"/>
      <c r="G27" s="282"/>
      <c r="H27" s="282"/>
      <c r="I27" s="282"/>
      <c r="J27" s="283"/>
      <c r="O27" s="74"/>
    </row>
    <row r="28" spans="2:15" hidden="1">
      <c r="C28" s="4" t="s">
        <v>4</v>
      </c>
      <c r="D28" s="278"/>
      <c r="E28" s="279"/>
      <c r="F28" s="279"/>
      <c r="G28" s="279"/>
      <c r="H28" s="279"/>
      <c r="I28" s="279"/>
      <c r="J28" s="280"/>
    </row>
    <row r="29" spans="2:15" hidden="1">
      <c r="C29" s="4" t="s">
        <v>5</v>
      </c>
      <c r="D29" s="5">
        <v>33892.300000000003</v>
      </c>
      <c r="E29" s="5" t="s">
        <v>7</v>
      </c>
      <c r="F29" s="5" t="s">
        <v>8</v>
      </c>
      <c r="G29" s="5" t="s">
        <v>9</v>
      </c>
      <c r="H29" s="5" t="s">
        <v>10</v>
      </c>
      <c r="I29" s="5" t="s">
        <v>11</v>
      </c>
      <c r="J29" s="6" t="s">
        <v>12</v>
      </c>
    </row>
    <row r="30" spans="2:15" hidden="1">
      <c r="C30" s="7" t="s">
        <v>45</v>
      </c>
      <c r="D30" s="8"/>
      <c r="E30" s="8"/>
      <c r="F30" s="8"/>
      <c r="G30" s="9" t="e">
        <f>AVERAGE(D30:F30)</f>
        <v>#DIV/0!</v>
      </c>
      <c r="H30" s="10">
        <f>MAX(D30:F30)</f>
        <v>0</v>
      </c>
      <c r="I30" s="8">
        <f>MIN(D30:F30)</f>
        <v>0</v>
      </c>
      <c r="J30" s="11" t="e">
        <f>_xlfn.STDEV.P(D30:F30)</f>
        <v>#DIV/0!</v>
      </c>
    </row>
    <row r="31" spans="2:15" hidden="1">
      <c r="C31" s="7" t="s">
        <v>46</v>
      </c>
      <c r="D31" s="8"/>
      <c r="E31" s="8"/>
      <c r="F31" s="8"/>
      <c r="G31" s="9" t="e">
        <f t="shared" ref="G31:G36" si="8">AVERAGE(D31:F31)</f>
        <v>#DIV/0!</v>
      </c>
      <c r="H31" s="10">
        <f t="shared" ref="H31:H37" si="9">MAX(D31:F31)</f>
        <v>0</v>
      </c>
      <c r="I31" s="8">
        <f t="shared" ref="I31:I37" si="10">MIN(D31:F31)</f>
        <v>0</v>
      </c>
      <c r="J31" s="11" t="e">
        <f t="shared" ref="J31:J37" si="11">_xlfn.STDEV.P(D31:F31)</f>
        <v>#DIV/0!</v>
      </c>
    </row>
    <row r="32" spans="2:15" hidden="1">
      <c r="C32" s="7" t="s">
        <v>64</v>
      </c>
      <c r="D32" s="8"/>
      <c r="E32" s="8"/>
      <c r="F32" s="8"/>
      <c r="G32" s="9" t="e">
        <f t="shared" si="8"/>
        <v>#DIV/0!</v>
      </c>
      <c r="H32" s="10">
        <f t="shared" si="9"/>
        <v>0</v>
      </c>
      <c r="I32" s="8">
        <f t="shared" si="10"/>
        <v>0</v>
      </c>
      <c r="J32" s="11" t="e">
        <f t="shared" si="11"/>
        <v>#DIV/0!</v>
      </c>
    </row>
    <row r="33" spans="2:15" hidden="1">
      <c r="B33" s="94"/>
      <c r="C33" s="7" t="s">
        <v>63</v>
      </c>
      <c r="D33" s="8"/>
      <c r="E33" s="8"/>
      <c r="F33" s="8"/>
      <c r="G33" s="9" t="e">
        <f t="shared" si="8"/>
        <v>#DIV/0!</v>
      </c>
      <c r="H33" s="10">
        <f t="shared" si="9"/>
        <v>0</v>
      </c>
      <c r="I33" s="8">
        <f t="shared" si="10"/>
        <v>0</v>
      </c>
      <c r="J33" s="11" t="e">
        <f t="shared" si="11"/>
        <v>#DIV/0!</v>
      </c>
    </row>
    <row r="34" spans="2:15" hidden="1">
      <c r="C34" s="7" t="s">
        <v>146</v>
      </c>
      <c r="D34" s="8"/>
      <c r="E34" s="8"/>
      <c r="F34" s="8"/>
      <c r="G34" s="9" t="e">
        <f t="shared" si="8"/>
        <v>#DIV/0!</v>
      </c>
      <c r="H34" s="10">
        <f t="shared" si="9"/>
        <v>0</v>
      </c>
      <c r="I34" s="8">
        <f t="shared" si="10"/>
        <v>0</v>
      </c>
      <c r="J34" s="11" t="e">
        <f t="shared" si="11"/>
        <v>#DIV/0!</v>
      </c>
    </row>
    <row r="35" spans="2:15" hidden="1">
      <c r="C35" s="7" t="s">
        <v>147</v>
      </c>
      <c r="D35" s="8"/>
      <c r="E35" s="8"/>
      <c r="F35" s="8"/>
      <c r="G35" s="9" t="e">
        <f t="shared" si="8"/>
        <v>#DIV/0!</v>
      </c>
      <c r="H35" s="10">
        <f t="shared" si="9"/>
        <v>0</v>
      </c>
      <c r="I35" s="8">
        <f t="shared" si="10"/>
        <v>0</v>
      </c>
      <c r="J35" s="11" t="e">
        <f t="shared" si="11"/>
        <v>#DIV/0!</v>
      </c>
    </row>
    <row r="36" spans="2:15" hidden="1">
      <c r="C36" s="92" t="s">
        <v>149</v>
      </c>
      <c r="D36" s="62"/>
      <c r="E36" s="8"/>
      <c r="F36" s="8"/>
      <c r="G36" s="9" t="e">
        <f t="shared" si="8"/>
        <v>#DIV/0!</v>
      </c>
      <c r="H36" s="10">
        <f t="shared" si="9"/>
        <v>0</v>
      </c>
      <c r="I36" s="8">
        <f t="shared" si="10"/>
        <v>0</v>
      </c>
      <c r="J36" s="11" t="e">
        <f t="shared" si="11"/>
        <v>#DIV/0!</v>
      </c>
    </row>
    <row r="37" spans="2:15" ht="15.75" hidden="1" thickBot="1">
      <c r="C37" s="13" t="s">
        <v>148</v>
      </c>
      <c r="D37" s="14"/>
      <c r="E37" s="14"/>
      <c r="F37" s="14"/>
      <c r="G37" s="50" t="e">
        <f>AVERAGE(D37:F37)</f>
        <v>#DIV/0!</v>
      </c>
      <c r="H37" s="16">
        <f t="shared" si="9"/>
        <v>0</v>
      </c>
      <c r="I37" s="14">
        <f t="shared" si="10"/>
        <v>0</v>
      </c>
      <c r="J37" s="17" t="e">
        <f t="shared" si="11"/>
        <v>#DIV/0!</v>
      </c>
    </row>
    <row r="38" spans="2:15" ht="15.75" hidden="1" thickBot="1"/>
    <row r="39" spans="2:15" ht="15.75" hidden="1" thickBot="1">
      <c r="C39" s="3" t="s">
        <v>150</v>
      </c>
      <c r="D39" s="281" t="s">
        <v>61</v>
      </c>
      <c r="E39" s="282"/>
      <c r="F39" s="282"/>
      <c r="G39" s="282"/>
      <c r="H39" s="282"/>
      <c r="I39" s="282"/>
      <c r="J39" s="283"/>
      <c r="O39" s="74"/>
    </row>
    <row r="40" spans="2:15" hidden="1">
      <c r="C40" s="4" t="s">
        <v>4</v>
      </c>
      <c r="D40" s="278"/>
      <c r="E40" s="279"/>
      <c r="F40" s="279"/>
      <c r="G40" s="279"/>
      <c r="H40" s="279"/>
      <c r="I40" s="279"/>
      <c r="J40" s="280"/>
    </row>
    <row r="41" spans="2:15" hidden="1">
      <c r="C41" s="4" t="s">
        <v>5</v>
      </c>
      <c r="D41" s="5" t="s">
        <v>6</v>
      </c>
      <c r="E41" s="5" t="s">
        <v>7</v>
      </c>
      <c r="F41" s="5" t="s">
        <v>8</v>
      </c>
      <c r="G41" s="5" t="s">
        <v>9</v>
      </c>
      <c r="H41" s="5" t="s">
        <v>10</v>
      </c>
      <c r="I41" s="5" t="s">
        <v>11</v>
      </c>
      <c r="J41" s="6" t="s">
        <v>12</v>
      </c>
    </row>
    <row r="42" spans="2:15" hidden="1">
      <c r="C42" s="27" t="s">
        <v>45</v>
      </c>
      <c r="D42" s="8"/>
      <c r="E42" s="8"/>
      <c r="F42" s="8"/>
      <c r="G42" s="9" t="e">
        <f>AVERAGE(D42:F42)</f>
        <v>#DIV/0!</v>
      </c>
      <c r="H42" s="10">
        <f>MAX(D42:F42)</f>
        <v>0</v>
      </c>
      <c r="I42" s="8">
        <f>MIN(D42:F42)</f>
        <v>0</v>
      </c>
      <c r="J42" s="11" t="e">
        <f>_xlfn.STDEV.P(D42:F42)</f>
        <v>#DIV/0!</v>
      </c>
    </row>
    <row r="43" spans="2:15" hidden="1">
      <c r="C43" s="7" t="s">
        <v>46</v>
      </c>
      <c r="D43" s="8"/>
      <c r="E43" s="8"/>
      <c r="F43" s="8"/>
      <c r="G43" s="9" t="e">
        <f t="shared" ref="G43:G49" si="12">AVERAGE(D43:F43)</f>
        <v>#DIV/0!</v>
      </c>
      <c r="H43" s="10">
        <f t="shared" ref="H43:H49" si="13">MAX(D43:F43)</f>
        <v>0</v>
      </c>
      <c r="I43" s="8">
        <f t="shared" ref="I43:I49" si="14">MIN(D43:F43)</f>
        <v>0</v>
      </c>
      <c r="J43" s="11" t="e">
        <f t="shared" ref="J43:J49" si="15">_xlfn.STDEV.P(D43:F43)</f>
        <v>#DIV/0!</v>
      </c>
    </row>
    <row r="44" spans="2:15" hidden="1">
      <c r="C44" s="7" t="s">
        <v>64</v>
      </c>
      <c r="D44" s="8"/>
      <c r="E44" s="8"/>
      <c r="F44" s="8"/>
      <c r="G44" s="9" t="e">
        <f t="shared" si="12"/>
        <v>#DIV/0!</v>
      </c>
      <c r="H44" s="10">
        <f t="shared" si="13"/>
        <v>0</v>
      </c>
      <c r="I44" s="8">
        <f t="shared" si="14"/>
        <v>0</v>
      </c>
      <c r="J44" s="11" t="e">
        <f t="shared" si="15"/>
        <v>#DIV/0!</v>
      </c>
    </row>
    <row r="45" spans="2:15" hidden="1">
      <c r="B45" s="94"/>
      <c r="C45" s="7" t="s">
        <v>63</v>
      </c>
      <c r="D45" s="8"/>
      <c r="E45" s="8"/>
      <c r="F45" s="8"/>
      <c r="G45" s="9" t="e">
        <f t="shared" si="12"/>
        <v>#DIV/0!</v>
      </c>
      <c r="H45" s="10">
        <f t="shared" si="13"/>
        <v>0</v>
      </c>
      <c r="I45" s="8">
        <f t="shared" si="14"/>
        <v>0</v>
      </c>
      <c r="J45" s="11" t="e">
        <f t="shared" si="15"/>
        <v>#DIV/0!</v>
      </c>
    </row>
    <row r="46" spans="2:15" hidden="1">
      <c r="C46" s="7" t="s">
        <v>146</v>
      </c>
      <c r="D46" s="8"/>
      <c r="E46" s="8"/>
      <c r="F46" s="8"/>
      <c r="G46" s="9" t="e">
        <f t="shared" si="12"/>
        <v>#DIV/0!</v>
      </c>
      <c r="H46" s="10">
        <f t="shared" si="13"/>
        <v>0</v>
      </c>
      <c r="I46" s="8">
        <f t="shared" si="14"/>
        <v>0</v>
      </c>
      <c r="J46" s="11" t="e">
        <f t="shared" si="15"/>
        <v>#DIV/0!</v>
      </c>
    </row>
    <row r="47" spans="2:15" hidden="1">
      <c r="C47" s="7" t="s">
        <v>147</v>
      </c>
      <c r="D47" s="8"/>
      <c r="E47" s="8"/>
      <c r="F47" s="8"/>
      <c r="G47" s="9" t="e">
        <f t="shared" si="12"/>
        <v>#DIV/0!</v>
      </c>
      <c r="H47" s="10">
        <f t="shared" si="13"/>
        <v>0</v>
      </c>
      <c r="I47" s="8">
        <f t="shared" si="14"/>
        <v>0</v>
      </c>
      <c r="J47" s="11" t="e">
        <f t="shared" si="15"/>
        <v>#DIV/0!</v>
      </c>
    </row>
    <row r="48" spans="2:15" hidden="1">
      <c r="C48" s="92" t="s">
        <v>149</v>
      </c>
      <c r="D48" s="62"/>
      <c r="E48" s="8"/>
      <c r="F48" s="8"/>
      <c r="G48" s="9" t="e">
        <f t="shared" si="12"/>
        <v>#DIV/0!</v>
      </c>
      <c r="H48" s="10">
        <f t="shared" si="13"/>
        <v>0</v>
      </c>
      <c r="I48" s="8">
        <f t="shared" si="14"/>
        <v>0</v>
      </c>
      <c r="J48" s="11" t="e">
        <f t="shared" si="15"/>
        <v>#DIV/0!</v>
      </c>
    </row>
    <row r="49" spans="2:15" ht="15.75" hidden="1" thickBot="1">
      <c r="C49" s="13" t="s">
        <v>148</v>
      </c>
      <c r="D49" s="14"/>
      <c r="E49" s="14"/>
      <c r="F49" s="14"/>
      <c r="G49" s="9" t="e">
        <f t="shared" si="12"/>
        <v>#DIV/0!</v>
      </c>
      <c r="H49" s="10">
        <f t="shared" si="13"/>
        <v>0</v>
      </c>
      <c r="I49" s="8">
        <f t="shared" si="14"/>
        <v>0</v>
      </c>
      <c r="J49" s="11" t="e">
        <f t="shared" si="15"/>
        <v>#DIV/0!</v>
      </c>
    </row>
    <row r="50" spans="2:15" ht="15.75" hidden="1" thickBot="1"/>
    <row r="51" spans="2:15" ht="15.75" hidden="1" thickBot="1">
      <c r="C51" s="3" t="s">
        <v>150</v>
      </c>
      <c r="D51" s="281" t="s">
        <v>62</v>
      </c>
      <c r="E51" s="282"/>
      <c r="F51" s="282"/>
      <c r="G51" s="282"/>
      <c r="H51" s="282"/>
      <c r="I51" s="282"/>
      <c r="J51" s="283"/>
    </row>
    <row r="52" spans="2:15" ht="15.75" hidden="1" thickBot="1">
      <c r="C52" s="4" t="s">
        <v>4</v>
      </c>
      <c r="D52" s="278"/>
      <c r="E52" s="279"/>
      <c r="F52" s="279"/>
      <c r="G52" s="279"/>
      <c r="H52" s="279"/>
      <c r="I52" s="279"/>
      <c r="J52" s="280"/>
      <c r="O52" s="74"/>
    </row>
    <row r="53" spans="2:15" hidden="1">
      <c r="C53" s="4" t="s">
        <v>5</v>
      </c>
      <c r="D53" s="5" t="s">
        <v>6</v>
      </c>
      <c r="E53" s="5" t="s">
        <v>7</v>
      </c>
      <c r="F53" s="5" t="s">
        <v>8</v>
      </c>
      <c r="G53" s="5" t="s">
        <v>9</v>
      </c>
      <c r="H53" s="5" t="s">
        <v>10</v>
      </c>
      <c r="I53" s="5" t="s">
        <v>11</v>
      </c>
      <c r="J53" s="6" t="s">
        <v>12</v>
      </c>
    </row>
    <row r="54" spans="2:15" hidden="1">
      <c r="C54" s="27" t="s">
        <v>45</v>
      </c>
      <c r="D54" s="8"/>
      <c r="E54" s="8"/>
      <c r="F54" s="8"/>
      <c r="G54" s="9" t="e">
        <f>AVERAGE(D54:F54)</f>
        <v>#DIV/0!</v>
      </c>
      <c r="H54" s="10">
        <f>MAX(D54:F54)</f>
        <v>0</v>
      </c>
      <c r="I54" s="8">
        <f>MIN(D54:F54)</f>
        <v>0</v>
      </c>
      <c r="J54" s="11" t="e">
        <f>_xlfn.STDEV.P(D54:F54)</f>
        <v>#DIV/0!</v>
      </c>
    </row>
    <row r="55" spans="2:15" hidden="1">
      <c r="C55" s="7" t="s">
        <v>46</v>
      </c>
      <c r="D55" s="8"/>
      <c r="E55" s="8"/>
      <c r="F55" s="8"/>
      <c r="G55" s="9" t="e">
        <f t="shared" ref="G55:G61" si="16">AVERAGE(D55:F55)</f>
        <v>#DIV/0!</v>
      </c>
      <c r="H55" s="10">
        <f t="shared" ref="H55:H61" si="17">MAX(D55:F55)</f>
        <v>0</v>
      </c>
      <c r="I55" s="8">
        <f t="shared" ref="I55:I61" si="18">MIN(D55:F55)</f>
        <v>0</v>
      </c>
      <c r="J55" s="11" t="e">
        <f t="shared" ref="J55:J61" si="19">_xlfn.STDEV.P(D55:F55)</f>
        <v>#DIV/0!</v>
      </c>
    </row>
    <row r="56" spans="2:15" hidden="1">
      <c r="C56" s="7" t="s">
        <v>64</v>
      </c>
      <c r="D56" s="8"/>
      <c r="E56" s="8"/>
      <c r="F56" s="8"/>
      <c r="G56" s="9" t="e">
        <f t="shared" si="16"/>
        <v>#DIV/0!</v>
      </c>
      <c r="H56" s="10">
        <f t="shared" si="17"/>
        <v>0</v>
      </c>
      <c r="I56" s="8">
        <f t="shared" si="18"/>
        <v>0</v>
      </c>
      <c r="J56" s="11" t="e">
        <f t="shared" si="19"/>
        <v>#DIV/0!</v>
      </c>
    </row>
    <row r="57" spans="2:15" hidden="1">
      <c r="C57" s="7" t="s">
        <v>63</v>
      </c>
      <c r="D57" s="8"/>
      <c r="E57" s="8"/>
      <c r="F57" s="8"/>
      <c r="G57" s="9" t="e">
        <f t="shared" si="16"/>
        <v>#DIV/0!</v>
      </c>
      <c r="H57" s="10">
        <f t="shared" si="17"/>
        <v>0</v>
      </c>
      <c r="I57" s="8">
        <f t="shared" si="18"/>
        <v>0</v>
      </c>
      <c r="J57" s="11" t="e">
        <f t="shared" si="19"/>
        <v>#DIV/0!</v>
      </c>
    </row>
    <row r="58" spans="2:15" hidden="1">
      <c r="B58" s="94"/>
      <c r="C58" s="7" t="s">
        <v>146</v>
      </c>
      <c r="D58" s="8"/>
      <c r="E58" s="8"/>
      <c r="F58" s="8"/>
      <c r="G58" s="9" t="e">
        <f t="shared" si="16"/>
        <v>#DIV/0!</v>
      </c>
      <c r="H58" s="10">
        <f t="shared" si="17"/>
        <v>0</v>
      </c>
      <c r="I58" s="8">
        <f t="shared" si="18"/>
        <v>0</v>
      </c>
      <c r="J58" s="11" t="e">
        <f t="shared" si="19"/>
        <v>#DIV/0!</v>
      </c>
    </row>
    <row r="59" spans="2:15" hidden="1">
      <c r="C59" s="7" t="s">
        <v>147</v>
      </c>
      <c r="D59" s="8"/>
      <c r="E59" s="8"/>
      <c r="F59" s="8"/>
      <c r="G59" s="9" t="e">
        <f t="shared" si="16"/>
        <v>#DIV/0!</v>
      </c>
      <c r="H59" s="10">
        <f t="shared" si="17"/>
        <v>0</v>
      </c>
      <c r="I59" s="8">
        <f t="shared" si="18"/>
        <v>0</v>
      </c>
      <c r="J59" s="11" t="e">
        <f t="shared" si="19"/>
        <v>#DIV/0!</v>
      </c>
    </row>
    <row r="60" spans="2:15" hidden="1">
      <c r="C60" s="92" t="s">
        <v>149</v>
      </c>
      <c r="D60" s="62"/>
      <c r="E60" s="8"/>
      <c r="F60" s="8"/>
      <c r="G60" s="9" t="e">
        <f t="shared" si="16"/>
        <v>#DIV/0!</v>
      </c>
      <c r="H60" s="10">
        <f t="shared" si="17"/>
        <v>0</v>
      </c>
      <c r="I60" s="8">
        <f t="shared" si="18"/>
        <v>0</v>
      </c>
      <c r="J60" s="11" t="e">
        <f t="shared" si="19"/>
        <v>#DIV/0!</v>
      </c>
    </row>
    <row r="61" spans="2:15" ht="15.75" hidden="1" thickBot="1">
      <c r="C61" s="13" t="s">
        <v>148</v>
      </c>
      <c r="D61" s="14"/>
      <c r="E61" s="14"/>
      <c r="F61" s="14"/>
      <c r="G61" s="9" t="e">
        <f t="shared" si="16"/>
        <v>#DIV/0!</v>
      </c>
      <c r="H61" s="10">
        <f t="shared" si="17"/>
        <v>0</v>
      </c>
      <c r="I61" s="8">
        <f t="shared" si="18"/>
        <v>0</v>
      </c>
      <c r="J61" s="11" t="e">
        <f t="shared" si="19"/>
        <v>#DIV/0!</v>
      </c>
    </row>
    <row r="62" spans="2:15" ht="15.75" thickBot="1"/>
    <row r="63" spans="2:15" ht="15.75" thickBot="1">
      <c r="C63" s="3" t="s">
        <v>150</v>
      </c>
      <c r="D63" s="384" t="s">
        <v>61</v>
      </c>
      <c r="E63" s="384"/>
      <c r="F63" s="384"/>
      <c r="G63" s="384"/>
      <c r="H63" s="384"/>
      <c r="I63" s="384"/>
      <c r="J63" s="385"/>
    </row>
    <row r="64" spans="2:15" ht="15.75" thickBot="1">
      <c r="C64" s="4" t="s">
        <v>4</v>
      </c>
      <c r="D64" s="382"/>
      <c r="E64" s="382"/>
      <c r="F64" s="382"/>
      <c r="G64" s="382"/>
      <c r="H64" s="382"/>
      <c r="I64" s="382"/>
      <c r="J64" s="383"/>
      <c r="O64" s="74"/>
    </row>
    <row r="65" spans="2:18">
      <c r="C65" s="4" t="s">
        <v>5</v>
      </c>
      <c r="D65" s="5" t="s">
        <v>6</v>
      </c>
      <c r="E65" s="5" t="s">
        <v>7</v>
      </c>
      <c r="F65" s="5" t="s">
        <v>8</v>
      </c>
      <c r="G65" s="5" t="s">
        <v>9</v>
      </c>
      <c r="H65" s="5" t="s">
        <v>10</v>
      </c>
      <c r="I65" s="5" t="s">
        <v>11</v>
      </c>
      <c r="J65" s="6" t="s">
        <v>12</v>
      </c>
    </row>
    <row r="66" spans="2:18" s="105" customFormat="1">
      <c r="C66" s="106" t="s">
        <v>171</v>
      </c>
      <c r="D66" s="182">
        <f>'CDM8 Raw'!$E1</f>
        <v>0</v>
      </c>
      <c r="E66" s="182">
        <f>'CDM8 Raw'!E13</f>
        <v>0</v>
      </c>
      <c r="F66" s="182">
        <f>'CDM8 Raw'!E25</f>
        <v>0</v>
      </c>
      <c r="G66" s="182">
        <f t="shared" ref="G66" si="20">AVERAGE(D66:F66)</f>
        <v>0</v>
      </c>
      <c r="H66" s="182">
        <f t="shared" ref="H66" si="21">MAX(D66:F66)</f>
        <v>0</v>
      </c>
      <c r="I66" s="182">
        <f t="shared" ref="I66" si="22">MIN(D66:F66)</f>
        <v>0</v>
      </c>
      <c r="J66" s="110">
        <f t="shared" ref="J66" si="23">_xlfn.STDEV.P(D66:F66)</f>
        <v>0</v>
      </c>
    </row>
    <row r="67" spans="2:18">
      <c r="C67" s="7" t="s">
        <v>173</v>
      </c>
      <c r="D67" s="182">
        <f>'CDM8 Raw'!$E2</f>
        <v>0</v>
      </c>
      <c r="E67" s="182">
        <f>'CDM8 Raw'!E14</f>
        <v>0</v>
      </c>
      <c r="F67" s="182">
        <f>'CDM8 Raw'!E26</f>
        <v>0</v>
      </c>
      <c r="G67" s="182">
        <f t="shared" ref="G67:G77" si="24">AVERAGE(D67:F67)</f>
        <v>0</v>
      </c>
      <c r="H67" s="182">
        <f t="shared" ref="H67:H77" si="25">MAX(D67:F67)</f>
        <v>0</v>
      </c>
      <c r="I67" s="182">
        <f t="shared" ref="I67:I77" si="26">MIN(D67:F67)</f>
        <v>0</v>
      </c>
      <c r="J67" s="110">
        <f t="shared" ref="J67:J77" si="27">_xlfn.STDEV.P(D67:F67)</f>
        <v>0</v>
      </c>
    </row>
    <row r="68" spans="2:18">
      <c r="C68" s="7" t="s">
        <v>175</v>
      </c>
      <c r="D68" s="182">
        <f>'CDM8 Raw'!$G3</f>
        <v>0</v>
      </c>
      <c r="E68" s="182">
        <f>'CDM8 Raw'!G15</f>
        <v>0</v>
      </c>
      <c r="F68" s="182">
        <f>'CDM8 Raw'!G27</f>
        <v>0</v>
      </c>
      <c r="G68" s="182">
        <f t="shared" si="24"/>
        <v>0</v>
      </c>
      <c r="H68" s="182">
        <f t="shared" si="25"/>
        <v>0</v>
      </c>
      <c r="I68" s="182">
        <f t="shared" si="26"/>
        <v>0</v>
      </c>
      <c r="J68" s="110">
        <f t="shared" si="27"/>
        <v>0</v>
      </c>
    </row>
    <row r="69" spans="2:18">
      <c r="C69" s="7" t="s">
        <v>177</v>
      </c>
      <c r="D69" s="182">
        <f>'CDM8 Raw'!$G4</f>
        <v>0</v>
      </c>
      <c r="E69" s="182">
        <f>'CDM8 Raw'!G16</f>
        <v>0</v>
      </c>
      <c r="F69" s="182">
        <f>'CDM8 Raw'!G28</f>
        <v>0</v>
      </c>
      <c r="G69" s="182">
        <f t="shared" si="24"/>
        <v>0</v>
      </c>
      <c r="H69" s="182">
        <f t="shared" si="25"/>
        <v>0</v>
      </c>
      <c r="I69" s="182">
        <f t="shared" si="26"/>
        <v>0</v>
      </c>
      <c r="J69" s="110">
        <f t="shared" si="27"/>
        <v>0</v>
      </c>
      <c r="P69" s="104"/>
      <c r="Q69" s="104"/>
      <c r="R69" s="104"/>
    </row>
    <row r="70" spans="2:18">
      <c r="C70" s="7" t="s">
        <v>172</v>
      </c>
      <c r="D70" s="182">
        <f>'CDM8 Raw'!$E5</f>
        <v>0</v>
      </c>
      <c r="E70" s="182">
        <f>'CDM8 Raw'!E17</f>
        <v>0</v>
      </c>
      <c r="F70" s="182">
        <f>'CDM8 Raw'!E29</f>
        <v>0</v>
      </c>
      <c r="G70" s="182">
        <f t="shared" si="24"/>
        <v>0</v>
      </c>
      <c r="H70" s="182">
        <f t="shared" si="25"/>
        <v>0</v>
      </c>
      <c r="I70" s="182">
        <f t="shared" si="26"/>
        <v>0</v>
      </c>
      <c r="J70" s="110">
        <f t="shared" si="27"/>
        <v>0</v>
      </c>
      <c r="P70" s="104"/>
      <c r="Q70" s="172"/>
      <c r="R70" s="104"/>
    </row>
    <row r="71" spans="2:18">
      <c r="B71" s="94"/>
      <c r="C71" s="7" t="s">
        <v>174</v>
      </c>
      <c r="D71" s="182">
        <f>'CDM8 Raw'!$E6</f>
        <v>0</v>
      </c>
      <c r="E71" s="182">
        <f>'CDM8 Raw'!E18</f>
        <v>0</v>
      </c>
      <c r="F71" s="182">
        <f>'CDM8 Raw'!E30</f>
        <v>0</v>
      </c>
      <c r="G71" s="182">
        <f t="shared" si="24"/>
        <v>0</v>
      </c>
      <c r="H71" s="182">
        <f t="shared" si="25"/>
        <v>0</v>
      </c>
      <c r="I71" s="182">
        <f t="shared" si="26"/>
        <v>0</v>
      </c>
      <c r="J71" s="110">
        <f t="shared" si="27"/>
        <v>0</v>
      </c>
      <c r="P71" s="104"/>
      <c r="Q71" s="172"/>
      <c r="R71" s="104"/>
    </row>
    <row r="72" spans="2:18">
      <c r="C72" s="7" t="s">
        <v>176</v>
      </c>
      <c r="D72" s="182">
        <f>'CDM8 Raw'!$G7</f>
        <v>0</v>
      </c>
      <c r="E72" s="182">
        <f>'CDM8 Raw'!G19</f>
        <v>0</v>
      </c>
      <c r="F72" s="182">
        <f>'CDM8 Raw'!G31</f>
        <v>0</v>
      </c>
      <c r="G72" s="182">
        <f t="shared" si="24"/>
        <v>0</v>
      </c>
      <c r="H72" s="182">
        <f t="shared" si="25"/>
        <v>0</v>
      </c>
      <c r="I72" s="182">
        <f t="shared" si="26"/>
        <v>0</v>
      </c>
      <c r="J72" s="110">
        <f t="shared" si="27"/>
        <v>0</v>
      </c>
      <c r="P72" s="104"/>
      <c r="Q72" s="172"/>
      <c r="R72" s="104"/>
    </row>
    <row r="73" spans="2:18">
      <c r="C73" s="7" t="s">
        <v>52</v>
      </c>
      <c r="D73" s="182">
        <f>'CDM8 Raw'!$G8</f>
        <v>0</v>
      </c>
      <c r="E73" s="182">
        <f>'CDM8 Raw'!G20</f>
        <v>0</v>
      </c>
      <c r="F73" s="182">
        <f>'CDM8 Raw'!G32</f>
        <v>0</v>
      </c>
      <c r="G73" s="182">
        <f t="shared" si="24"/>
        <v>0</v>
      </c>
      <c r="H73" s="182">
        <f t="shared" si="25"/>
        <v>0</v>
      </c>
      <c r="I73" s="182">
        <f t="shared" si="26"/>
        <v>0</v>
      </c>
      <c r="J73" s="110">
        <f t="shared" si="27"/>
        <v>0</v>
      </c>
      <c r="P73" s="104"/>
      <c r="Q73" s="172"/>
      <c r="R73" s="104"/>
    </row>
    <row r="74" spans="2:18">
      <c r="C74" s="7" t="s">
        <v>169</v>
      </c>
      <c r="D74" s="182">
        <f>'CDM8 Raw'!$E9</f>
        <v>0</v>
      </c>
      <c r="E74" s="182">
        <f>'CDM8 Raw'!E21</f>
        <v>0</v>
      </c>
      <c r="F74" s="182">
        <f>'CDM8 Raw'!E33</f>
        <v>0</v>
      </c>
      <c r="G74" s="182">
        <f t="shared" si="24"/>
        <v>0</v>
      </c>
      <c r="H74" s="182">
        <f t="shared" si="25"/>
        <v>0</v>
      </c>
      <c r="I74" s="182">
        <f t="shared" si="26"/>
        <v>0</v>
      </c>
      <c r="J74" s="110">
        <f t="shared" si="27"/>
        <v>0</v>
      </c>
      <c r="P74" s="104"/>
      <c r="Q74" s="172"/>
      <c r="R74" s="104"/>
    </row>
    <row r="75" spans="2:18">
      <c r="C75" s="7" t="s">
        <v>169</v>
      </c>
      <c r="D75" s="182">
        <f>'CDM8 Raw'!$E10</f>
        <v>0</v>
      </c>
      <c r="E75" s="182">
        <f>'CDM8 Raw'!E22</f>
        <v>0</v>
      </c>
      <c r="F75" s="182">
        <f>'CDM8 Raw'!E34</f>
        <v>0</v>
      </c>
      <c r="G75" s="182">
        <f t="shared" si="24"/>
        <v>0</v>
      </c>
      <c r="H75" s="182">
        <f t="shared" si="25"/>
        <v>0</v>
      </c>
      <c r="I75" s="182">
        <f t="shared" si="26"/>
        <v>0</v>
      </c>
      <c r="J75" s="110">
        <f t="shared" si="27"/>
        <v>0</v>
      </c>
      <c r="O75">
        <v>1305.644004</v>
      </c>
      <c r="P75" s="104"/>
      <c r="Q75" s="172"/>
      <c r="R75" s="104"/>
    </row>
    <row r="76" spans="2:18">
      <c r="C76" s="7" t="s">
        <v>170</v>
      </c>
      <c r="D76" s="182">
        <f>'CDM8 Raw'!$G11</f>
        <v>0</v>
      </c>
      <c r="E76" s="182">
        <f>'CDM8 Raw'!G23</f>
        <v>0</v>
      </c>
      <c r="F76" s="182">
        <f>'CDM8 Raw'!G35</f>
        <v>0</v>
      </c>
      <c r="G76" s="182">
        <f t="shared" si="24"/>
        <v>0</v>
      </c>
      <c r="H76" s="182">
        <f t="shared" si="25"/>
        <v>0</v>
      </c>
      <c r="I76" s="182">
        <f t="shared" si="26"/>
        <v>0</v>
      </c>
      <c r="J76" s="110">
        <f t="shared" si="27"/>
        <v>0</v>
      </c>
      <c r="P76" s="104"/>
      <c r="Q76" s="172"/>
      <c r="R76" s="104"/>
    </row>
    <row r="77" spans="2:18" ht="15.75" thickBot="1">
      <c r="C77" s="13" t="s">
        <v>170</v>
      </c>
      <c r="D77" s="185">
        <f>'CDM8 Raw'!$G12</f>
        <v>0</v>
      </c>
      <c r="E77" s="185">
        <f>'CDM8 Raw'!G24</f>
        <v>0</v>
      </c>
      <c r="F77" s="185">
        <f>'CDM8 Raw'!G36</f>
        <v>0</v>
      </c>
      <c r="G77" s="185">
        <f t="shared" si="24"/>
        <v>0</v>
      </c>
      <c r="H77" s="185">
        <f t="shared" si="25"/>
        <v>0</v>
      </c>
      <c r="I77" s="185">
        <f t="shared" si="26"/>
        <v>0</v>
      </c>
      <c r="J77" s="195">
        <f t="shared" si="27"/>
        <v>0</v>
      </c>
      <c r="P77" s="104"/>
      <c r="Q77" s="172"/>
      <c r="R77" s="104"/>
    </row>
    <row r="78" spans="2:18" ht="15.75" thickBot="1">
      <c r="P78" s="104"/>
      <c r="Q78" s="172"/>
      <c r="R78" s="104"/>
    </row>
    <row r="79" spans="2:18" ht="15.75" thickBot="1">
      <c r="C79" s="3" t="s">
        <v>150</v>
      </c>
      <c r="D79" s="384" t="s">
        <v>104</v>
      </c>
      <c r="E79" s="384"/>
      <c r="F79" s="384"/>
      <c r="G79" s="384"/>
      <c r="H79" s="384"/>
      <c r="I79" s="384"/>
      <c r="J79" s="385"/>
      <c r="O79" s="74"/>
      <c r="Q79" s="172"/>
    </row>
    <row r="80" spans="2:18">
      <c r="C80" s="4" t="s">
        <v>4</v>
      </c>
      <c r="D80" s="382"/>
      <c r="E80" s="382"/>
      <c r="F80" s="382"/>
      <c r="G80" s="382"/>
      <c r="H80" s="382"/>
      <c r="I80" s="382"/>
      <c r="J80" s="383"/>
      <c r="Q80" s="172"/>
    </row>
    <row r="81" spans="2:17">
      <c r="C81" s="4" t="s">
        <v>5</v>
      </c>
      <c r="D81" s="5" t="s">
        <v>6</v>
      </c>
      <c r="E81" s="5" t="s">
        <v>7</v>
      </c>
      <c r="F81" s="5" t="s">
        <v>8</v>
      </c>
      <c r="G81" s="5" t="s">
        <v>9</v>
      </c>
      <c r="H81" s="5" t="s">
        <v>10</v>
      </c>
      <c r="I81" s="5" t="s">
        <v>11</v>
      </c>
      <c r="J81" s="6" t="s">
        <v>12</v>
      </c>
      <c r="Q81" s="172"/>
    </row>
    <row r="82" spans="2:17" s="105" customFormat="1">
      <c r="C82" s="106" t="s">
        <v>171</v>
      </c>
      <c r="D82" s="182">
        <f>'CDM8 Raw'!$P1</f>
        <v>0</v>
      </c>
      <c r="E82" s="182">
        <f>'CDM8 Raw'!$P13</f>
        <v>0</v>
      </c>
      <c r="F82" s="182">
        <f>'CDM8 Raw'!$P25</f>
        <v>0</v>
      </c>
      <c r="G82" s="182">
        <f t="shared" ref="G82:G93" si="28">AVERAGE(D82:F82)</f>
        <v>0</v>
      </c>
      <c r="H82" s="182">
        <f t="shared" ref="H82:H93" si="29">MAX(D82:F82)</f>
        <v>0</v>
      </c>
      <c r="I82" s="182">
        <f t="shared" ref="I82:I93" si="30">MIN(D82:F82)</f>
        <v>0</v>
      </c>
      <c r="J82" s="110">
        <f t="shared" ref="J82:J89" si="31">_xlfn.STDEV.P(D82:F82)</f>
        <v>0</v>
      </c>
    </row>
    <row r="83" spans="2:17">
      <c r="C83" s="7" t="s">
        <v>173</v>
      </c>
      <c r="D83" s="182">
        <f>'CDM8 Raw'!$P2</f>
        <v>0</v>
      </c>
      <c r="E83" s="182">
        <f>'CDM8 Raw'!$P14</f>
        <v>0</v>
      </c>
      <c r="F83" s="182">
        <f>'CDM8 Raw'!$P26</f>
        <v>0</v>
      </c>
      <c r="G83" s="182">
        <f t="shared" si="28"/>
        <v>0</v>
      </c>
      <c r="H83" s="182">
        <f t="shared" si="29"/>
        <v>0</v>
      </c>
      <c r="I83" s="182">
        <f t="shared" si="30"/>
        <v>0</v>
      </c>
      <c r="J83" s="110">
        <f t="shared" si="31"/>
        <v>0</v>
      </c>
    </row>
    <row r="84" spans="2:17">
      <c r="C84" s="7" t="s">
        <v>175</v>
      </c>
      <c r="D84" s="182">
        <f>'CDM8 Raw'!$R3</f>
        <v>0</v>
      </c>
      <c r="E84" s="182">
        <f>'CDM8 Raw'!$R15</f>
        <v>0</v>
      </c>
      <c r="F84" s="182">
        <f>'CDM8 Raw'!$R27</f>
        <v>0</v>
      </c>
      <c r="G84" s="182">
        <f t="shared" si="28"/>
        <v>0</v>
      </c>
      <c r="H84" s="182">
        <f t="shared" si="29"/>
        <v>0</v>
      </c>
      <c r="I84" s="182">
        <f t="shared" si="30"/>
        <v>0</v>
      </c>
      <c r="J84" s="110">
        <f t="shared" si="31"/>
        <v>0</v>
      </c>
    </row>
    <row r="85" spans="2:17">
      <c r="C85" s="7" t="s">
        <v>177</v>
      </c>
      <c r="D85" s="182">
        <f>'CDM8 Raw'!$R4</f>
        <v>0</v>
      </c>
      <c r="E85" s="182">
        <f>'CDM8 Raw'!$R16</f>
        <v>0</v>
      </c>
      <c r="F85" s="182">
        <f>'CDM8 Raw'!$R28</f>
        <v>0</v>
      </c>
      <c r="G85" s="182">
        <f t="shared" si="28"/>
        <v>0</v>
      </c>
      <c r="H85" s="182">
        <f t="shared" si="29"/>
        <v>0</v>
      </c>
      <c r="I85" s="182">
        <f t="shared" si="30"/>
        <v>0</v>
      </c>
      <c r="J85" s="110">
        <f t="shared" si="31"/>
        <v>0</v>
      </c>
    </row>
    <row r="86" spans="2:17">
      <c r="C86" s="7" t="s">
        <v>172</v>
      </c>
      <c r="D86" s="182">
        <f>'CDM8 Raw'!$P5</f>
        <v>0</v>
      </c>
      <c r="E86" s="182">
        <f>'CDM8 Raw'!$P17</f>
        <v>0</v>
      </c>
      <c r="F86" s="182">
        <f>'CDM8 Raw'!$P29</f>
        <v>0</v>
      </c>
      <c r="G86" s="182">
        <f t="shared" si="28"/>
        <v>0</v>
      </c>
      <c r="H86" s="182">
        <f t="shared" si="29"/>
        <v>0</v>
      </c>
      <c r="I86" s="182">
        <f t="shared" si="30"/>
        <v>0</v>
      </c>
      <c r="J86" s="110">
        <f t="shared" si="31"/>
        <v>0</v>
      </c>
    </row>
    <row r="87" spans="2:17">
      <c r="B87" s="94"/>
      <c r="C87" s="7" t="s">
        <v>174</v>
      </c>
      <c r="D87" s="182">
        <f>'CDM8 Raw'!$P6</f>
        <v>0</v>
      </c>
      <c r="E87" s="182">
        <f>'CDM8 Raw'!$P18</f>
        <v>0</v>
      </c>
      <c r="F87" s="182">
        <f>'CDM8 Raw'!$P30</f>
        <v>0</v>
      </c>
      <c r="G87" s="182">
        <f t="shared" si="28"/>
        <v>0</v>
      </c>
      <c r="H87" s="182">
        <f t="shared" si="29"/>
        <v>0</v>
      </c>
      <c r="I87" s="182">
        <f t="shared" si="30"/>
        <v>0</v>
      </c>
      <c r="J87" s="110">
        <f t="shared" si="31"/>
        <v>0</v>
      </c>
      <c r="O87">
        <v>2311.3289070000001</v>
      </c>
    </row>
    <row r="88" spans="2:17">
      <c r="C88" s="7" t="s">
        <v>176</v>
      </c>
      <c r="D88" s="182">
        <f>'CDM8 Raw'!$R7</f>
        <v>0</v>
      </c>
      <c r="E88" s="182">
        <f>'CDM8 Raw'!$R19</f>
        <v>0</v>
      </c>
      <c r="F88" s="182">
        <f>'CDM8 Raw'!$R31</f>
        <v>0</v>
      </c>
      <c r="G88" s="182">
        <f t="shared" si="28"/>
        <v>0</v>
      </c>
      <c r="H88" s="182">
        <f t="shared" si="29"/>
        <v>0</v>
      </c>
      <c r="I88" s="182">
        <f t="shared" si="30"/>
        <v>0</v>
      </c>
      <c r="J88" s="110">
        <f t="shared" si="31"/>
        <v>0</v>
      </c>
    </row>
    <row r="89" spans="2:17">
      <c r="C89" s="7" t="s">
        <v>52</v>
      </c>
      <c r="D89" s="182">
        <f>'CDM8 Raw'!$R8</f>
        <v>0</v>
      </c>
      <c r="E89" s="182">
        <f>'CDM8 Raw'!$R20</f>
        <v>0</v>
      </c>
      <c r="F89" s="182">
        <f>'CDM8 Raw'!$R32</f>
        <v>0</v>
      </c>
      <c r="G89" s="182">
        <f t="shared" si="28"/>
        <v>0</v>
      </c>
      <c r="H89" s="182">
        <f t="shared" si="29"/>
        <v>0</v>
      </c>
      <c r="I89" s="182">
        <f t="shared" si="30"/>
        <v>0</v>
      </c>
      <c r="J89" s="110">
        <f t="shared" si="31"/>
        <v>0</v>
      </c>
    </row>
    <row r="90" spans="2:17">
      <c r="C90" s="7" t="s">
        <v>169</v>
      </c>
      <c r="D90" s="182">
        <f>'CDM8 Raw'!$P9</f>
        <v>0</v>
      </c>
      <c r="E90" s="182">
        <f>'CDM8 Raw'!$P21</f>
        <v>0</v>
      </c>
      <c r="F90" s="182">
        <f>'CDM8 Raw'!$P33</f>
        <v>0</v>
      </c>
      <c r="G90" s="182">
        <f t="shared" si="28"/>
        <v>0</v>
      </c>
      <c r="H90" s="182">
        <f t="shared" si="29"/>
        <v>0</v>
      </c>
      <c r="I90" s="182">
        <f t="shared" si="30"/>
        <v>0</v>
      </c>
      <c r="J90" s="110">
        <f t="shared" ref="J90:J93" si="32">_xlfn.STDEV.P(D90:F90)</f>
        <v>0</v>
      </c>
    </row>
    <row r="91" spans="2:17">
      <c r="C91" s="7" t="s">
        <v>178</v>
      </c>
      <c r="D91" s="182">
        <f>'CDM8 Raw'!$P10</f>
        <v>0</v>
      </c>
      <c r="E91" s="182">
        <f>'CDM8 Raw'!$P22</f>
        <v>0</v>
      </c>
      <c r="F91" s="182">
        <f>'CDM8 Raw'!$P34</f>
        <v>0</v>
      </c>
      <c r="G91" s="182">
        <f t="shared" si="28"/>
        <v>0</v>
      </c>
      <c r="H91" s="182">
        <f t="shared" si="29"/>
        <v>0</v>
      </c>
      <c r="I91" s="182">
        <f t="shared" si="30"/>
        <v>0</v>
      </c>
      <c r="J91" s="110">
        <f t="shared" si="32"/>
        <v>0</v>
      </c>
    </row>
    <row r="92" spans="2:17">
      <c r="C92" s="7" t="s">
        <v>179</v>
      </c>
      <c r="D92" s="182">
        <f>'CDM8 Raw'!$R11</f>
        <v>0</v>
      </c>
      <c r="E92" s="182">
        <f>'CDM8 Raw'!$R23</f>
        <v>0</v>
      </c>
      <c r="F92" s="182">
        <f>'CDM8 Raw'!$R35</f>
        <v>0</v>
      </c>
      <c r="G92" s="182">
        <f t="shared" si="28"/>
        <v>0</v>
      </c>
      <c r="H92" s="182">
        <f t="shared" si="29"/>
        <v>0</v>
      </c>
      <c r="I92" s="182">
        <f t="shared" si="30"/>
        <v>0</v>
      </c>
      <c r="J92" s="110">
        <f t="shared" si="32"/>
        <v>0</v>
      </c>
    </row>
    <row r="93" spans="2:17" ht="15.75" thickBot="1">
      <c r="C93" s="13" t="s">
        <v>180</v>
      </c>
      <c r="D93" s="185">
        <f>'CDM8 Raw'!$R12</f>
        <v>0</v>
      </c>
      <c r="E93" s="185">
        <f>'CDM8 Raw'!$R24</f>
        <v>0</v>
      </c>
      <c r="F93" s="185">
        <f>'CDM8 Raw'!$R36</f>
        <v>0</v>
      </c>
      <c r="G93" s="182">
        <f t="shared" si="28"/>
        <v>0</v>
      </c>
      <c r="H93" s="182">
        <f t="shared" si="29"/>
        <v>0</v>
      </c>
      <c r="I93" s="182">
        <f t="shared" si="30"/>
        <v>0</v>
      </c>
      <c r="J93" s="195">
        <f t="shared" si="32"/>
        <v>0</v>
      </c>
    </row>
    <row r="94" spans="2:17" ht="15.75" thickBot="1"/>
    <row r="95" spans="2:17" ht="15.75" thickBot="1">
      <c r="C95" s="210"/>
      <c r="D95" s="386"/>
      <c r="E95" s="386"/>
      <c r="F95" s="386"/>
      <c r="G95" s="386"/>
      <c r="H95" s="386"/>
      <c r="I95" s="386"/>
      <c r="J95" s="387"/>
      <c r="O95" s="74"/>
    </row>
    <row r="96" spans="2:17">
      <c r="C96" s="211"/>
      <c r="D96" s="388"/>
      <c r="E96" s="388"/>
      <c r="F96" s="388"/>
      <c r="G96" s="388"/>
      <c r="H96" s="388"/>
      <c r="I96" s="388"/>
      <c r="J96" s="389"/>
    </row>
    <row r="97" spans="2:15">
      <c r="C97" s="212" t="s">
        <v>5</v>
      </c>
      <c r="D97" s="213" t="s">
        <v>206</v>
      </c>
      <c r="E97" s="213" t="s">
        <v>207</v>
      </c>
      <c r="F97" s="213" t="s">
        <v>208</v>
      </c>
      <c r="G97" s="213" t="s">
        <v>9</v>
      </c>
      <c r="H97" s="213" t="s">
        <v>10</v>
      </c>
      <c r="I97" s="213" t="s">
        <v>11</v>
      </c>
      <c r="J97" s="6" t="s">
        <v>12</v>
      </c>
    </row>
    <row r="98" spans="2:15" s="91" customFormat="1">
      <c r="C98" s="7" t="s">
        <v>171</v>
      </c>
      <c r="D98" s="206">
        <f>'CDM8 Raw'!$AA1</f>
        <v>0</v>
      </c>
      <c r="E98" s="206">
        <f>'CDM8 Raw'!$AA13</f>
        <v>0</v>
      </c>
      <c r="F98" s="206">
        <f>'CDM8 Raw'!$AA25</f>
        <v>0</v>
      </c>
      <c r="G98" s="206">
        <f t="shared" ref="G98:G109" si="33">AVERAGE(D98:F98)</f>
        <v>0</v>
      </c>
      <c r="H98" s="206">
        <f t="shared" ref="H98:H109" si="34">MAX(D98:F98)</f>
        <v>0</v>
      </c>
      <c r="I98" s="206">
        <f t="shared" ref="I98:I109" si="35">MIN(D98:F98)</f>
        <v>0</v>
      </c>
      <c r="J98" s="207">
        <f t="shared" ref="J98" si="36">_xlfn.STDEV.P(D98:F98)</f>
        <v>0</v>
      </c>
    </row>
    <row r="99" spans="2:15">
      <c r="C99" s="7" t="s">
        <v>173</v>
      </c>
      <c r="D99" s="206">
        <f>'CDM8 Raw'!$AA2</f>
        <v>0</v>
      </c>
      <c r="E99" s="206">
        <f>'CDM8 Raw'!$AA14</f>
        <v>0</v>
      </c>
      <c r="F99" s="206">
        <f>'CDM8 Raw'!$AA26</f>
        <v>0</v>
      </c>
      <c r="G99" s="206">
        <f t="shared" si="33"/>
        <v>0</v>
      </c>
      <c r="H99" s="206">
        <f t="shared" si="34"/>
        <v>0</v>
      </c>
      <c r="I99" s="206">
        <f t="shared" si="35"/>
        <v>0</v>
      </c>
      <c r="J99" s="207">
        <f t="shared" ref="J99:J109" si="37">_xlfn.STDEV.P(D99:F99)</f>
        <v>0</v>
      </c>
      <c r="O99">
        <v>2454.7388510000001</v>
      </c>
    </row>
    <row r="100" spans="2:15">
      <c r="C100" s="7" t="s">
        <v>175</v>
      </c>
      <c r="D100" s="182">
        <f>'CDM8 Raw'!$AC3</f>
        <v>0</v>
      </c>
      <c r="E100" s="182">
        <f>'CDM8 Raw'!$AC15</f>
        <v>0</v>
      </c>
      <c r="F100" s="182">
        <f>'CDM8 Raw'!$AC27</f>
        <v>0</v>
      </c>
      <c r="G100" s="206">
        <f t="shared" si="33"/>
        <v>0</v>
      </c>
      <c r="H100" s="206">
        <f t="shared" si="34"/>
        <v>0</v>
      </c>
      <c r="I100" s="206">
        <f t="shared" si="35"/>
        <v>0</v>
      </c>
      <c r="J100" s="207">
        <f t="shared" si="37"/>
        <v>0</v>
      </c>
    </row>
    <row r="101" spans="2:15">
      <c r="C101" s="7" t="s">
        <v>177</v>
      </c>
      <c r="D101" s="206">
        <f>'CDM8 Raw'!$AC4</f>
        <v>0</v>
      </c>
      <c r="E101" s="206">
        <f>'CDM8 Raw'!$AC16</f>
        <v>0</v>
      </c>
      <c r="F101" s="206">
        <f>'CDM8 Raw'!$AC28</f>
        <v>0</v>
      </c>
      <c r="G101" s="206">
        <f t="shared" si="33"/>
        <v>0</v>
      </c>
      <c r="H101" s="206">
        <f t="shared" si="34"/>
        <v>0</v>
      </c>
      <c r="I101" s="206">
        <f t="shared" si="35"/>
        <v>0</v>
      </c>
      <c r="J101" s="207">
        <f t="shared" si="37"/>
        <v>0</v>
      </c>
    </row>
    <row r="102" spans="2:15">
      <c r="B102" s="94"/>
      <c r="C102" s="7" t="s">
        <v>172</v>
      </c>
      <c r="D102" s="206">
        <f>'CDM8 Raw'!$AA5</f>
        <v>0</v>
      </c>
      <c r="E102" s="206">
        <f>'CDM8 Raw'!$AA17</f>
        <v>0</v>
      </c>
      <c r="F102" s="206">
        <f>'CDM8 Raw'!$AA29</f>
        <v>0</v>
      </c>
      <c r="G102" s="206">
        <f t="shared" si="33"/>
        <v>0</v>
      </c>
      <c r="H102" s="206">
        <f t="shared" si="34"/>
        <v>0</v>
      </c>
      <c r="I102" s="206">
        <f t="shared" si="35"/>
        <v>0</v>
      </c>
      <c r="J102" s="207">
        <f t="shared" si="37"/>
        <v>0</v>
      </c>
    </row>
    <row r="103" spans="2:15">
      <c r="C103" s="7" t="s">
        <v>174</v>
      </c>
      <c r="D103" s="206">
        <f>'CDM8 Raw'!$AA6</f>
        <v>0</v>
      </c>
      <c r="E103" s="206">
        <f>'CDM8 Raw'!$AA18</f>
        <v>0</v>
      </c>
      <c r="F103" s="206">
        <f>'CDM8 Raw'!$AA30</f>
        <v>0</v>
      </c>
      <c r="G103" s="206">
        <f t="shared" si="33"/>
        <v>0</v>
      </c>
      <c r="H103" s="206">
        <f t="shared" si="34"/>
        <v>0</v>
      </c>
      <c r="I103" s="206">
        <f t="shared" si="35"/>
        <v>0</v>
      </c>
      <c r="J103" s="207">
        <f t="shared" si="37"/>
        <v>0</v>
      </c>
    </row>
    <row r="104" spans="2:15">
      <c r="C104" s="7" t="s">
        <v>176</v>
      </c>
      <c r="D104" s="206">
        <f>'CDM8 Raw'!$AC7</f>
        <v>0</v>
      </c>
      <c r="E104" s="206">
        <f>'CDM8 Raw'!$AC19</f>
        <v>0</v>
      </c>
      <c r="F104" s="206">
        <f>'CDM8 Raw'!$AC31</f>
        <v>0</v>
      </c>
      <c r="G104" s="206">
        <f t="shared" si="33"/>
        <v>0</v>
      </c>
      <c r="H104" s="206">
        <f t="shared" si="34"/>
        <v>0</v>
      </c>
      <c r="I104" s="206">
        <f t="shared" si="35"/>
        <v>0</v>
      </c>
      <c r="J104" s="207">
        <f t="shared" si="37"/>
        <v>0</v>
      </c>
    </row>
    <row r="105" spans="2:15">
      <c r="C105" s="7" t="s">
        <v>52</v>
      </c>
      <c r="D105" s="206">
        <f>'CDM8 Raw'!$AC8</f>
        <v>0</v>
      </c>
      <c r="E105" s="206">
        <f>'CDM8 Raw'!$AC20</f>
        <v>0</v>
      </c>
      <c r="F105" s="206">
        <f>'CDM8 Raw'!$AC32</f>
        <v>0</v>
      </c>
      <c r="G105" s="206">
        <f t="shared" si="33"/>
        <v>0</v>
      </c>
      <c r="H105" s="206">
        <f t="shared" si="34"/>
        <v>0</v>
      </c>
      <c r="I105" s="206">
        <f t="shared" si="35"/>
        <v>0</v>
      </c>
      <c r="J105" s="207">
        <f t="shared" si="37"/>
        <v>0</v>
      </c>
    </row>
    <row r="106" spans="2:15">
      <c r="C106" s="7" t="s">
        <v>169</v>
      </c>
      <c r="D106" s="206">
        <f>'CDM8 Raw'!$AA9</f>
        <v>0</v>
      </c>
      <c r="E106" s="206">
        <f>'CDM8 Raw'!$AA21</f>
        <v>0</v>
      </c>
      <c r="F106" s="206">
        <f>'CDM8 Raw'!$AA33</f>
        <v>0</v>
      </c>
      <c r="G106" s="206">
        <f t="shared" si="33"/>
        <v>0</v>
      </c>
      <c r="H106" s="206">
        <f t="shared" si="34"/>
        <v>0</v>
      </c>
      <c r="I106" s="206">
        <f t="shared" si="35"/>
        <v>0</v>
      </c>
      <c r="J106" s="207">
        <f t="shared" si="37"/>
        <v>0</v>
      </c>
    </row>
    <row r="107" spans="2:15">
      <c r="C107" s="7" t="s">
        <v>169</v>
      </c>
      <c r="D107" s="206">
        <f>'CDM8 Raw'!$AA10</f>
        <v>0</v>
      </c>
      <c r="E107" s="206">
        <f>'CDM8 Raw'!$AA22</f>
        <v>0</v>
      </c>
      <c r="F107" s="206">
        <f>'CDM8 Raw'!$AA34</f>
        <v>0</v>
      </c>
      <c r="G107" s="206">
        <f t="shared" si="33"/>
        <v>0</v>
      </c>
      <c r="H107" s="206">
        <f t="shared" si="34"/>
        <v>0</v>
      </c>
      <c r="I107" s="206">
        <f t="shared" si="35"/>
        <v>0</v>
      </c>
      <c r="J107" s="207">
        <f t="shared" si="37"/>
        <v>0</v>
      </c>
    </row>
    <row r="108" spans="2:15">
      <c r="C108" s="7" t="s">
        <v>170</v>
      </c>
      <c r="D108" s="206">
        <f>'CDM8 Raw'!$AC11</f>
        <v>0</v>
      </c>
      <c r="E108" s="206">
        <f>'CDM8 Raw'!$AC23</f>
        <v>0</v>
      </c>
      <c r="F108" s="206">
        <f>'CDM8 Raw'!$AC35</f>
        <v>0</v>
      </c>
      <c r="G108" s="206">
        <f t="shared" si="33"/>
        <v>0</v>
      </c>
      <c r="H108" s="206">
        <f t="shared" si="34"/>
        <v>0</v>
      </c>
      <c r="I108" s="206">
        <f t="shared" si="35"/>
        <v>0</v>
      </c>
      <c r="J108" s="207">
        <f t="shared" si="37"/>
        <v>0</v>
      </c>
    </row>
    <row r="109" spans="2:15" ht="15.75" thickBot="1">
      <c r="C109" s="13" t="s">
        <v>170</v>
      </c>
      <c r="D109" s="208">
        <f>'CDM8 Raw'!$AC12</f>
        <v>0</v>
      </c>
      <c r="E109" s="208">
        <f>'CDM8 Raw'!$AC24</f>
        <v>0</v>
      </c>
      <c r="F109" s="208">
        <f>'CDM8 Raw'!$AC36</f>
        <v>0</v>
      </c>
      <c r="G109" s="206">
        <f t="shared" si="33"/>
        <v>0</v>
      </c>
      <c r="H109" s="206">
        <f t="shared" si="34"/>
        <v>0</v>
      </c>
      <c r="I109" s="206">
        <f t="shared" si="35"/>
        <v>0</v>
      </c>
      <c r="J109" s="209">
        <f t="shared" si="37"/>
        <v>0</v>
      </c>
    </row>
    <row r="110" spans="2:15" ht="15.75" thickBot="1"/>
    <row r="111" spans="2:15" ht="15.75" thickBot="1">
      <c r="C111" s="3" t="s">
        <v>150</v>
      </c>
      <c r="D111" s="384" t="s">
        <v>104</v>
      </c>
      <c r="E111" s="384"/>
      <c r="F111" s="384"/>
      <c r="G111" s="384"/>
      <c r="H111" s="384"/>
      <c r="I111" s="384"/>
      <c r="J111" s="385"/>
      <c r="O111" s="74"/>
    </row>
    <row r="112" spans="2:15">
      <c r="C112" s="4" t="s">
        <v>4</v>
      </c>
      <c r="D112" s="382"/>
      <c r="E112" s="382"/>
      <c r="F112" s="382"/>
      <c r="G112" s="382"/>
      <c r="H112" s="382"/>
      <c r="I112" s="382"/>
      <c r="J112" s="383"/>
    </row>
    <row r="113" spans="2:10">
      <c r="C113" s="4" t="s">
        <v>5</v>
      </c>
      <c r="D113" s="5" t="s">
        <v>6</v>
      </c>
      <c r="E113" s="5" t="s">
        <v>7</v>
      </c>
      <c r="F113" s="5" t="s">
        <v>8</v>
      </c>
      <c r="G113" s="5" t="s">
        <v>9</v>
      </c>
      <c r="H113" s="5" t="s">
        <v>10</v>
      </c>
      <c r="I113" s="5" t="s">
        <v>11</v>
      </c>
      <c r="J113" s="6" t="s">
        <v>12</v>
      </c>
    </row>
    <row r="114" spans="2:10" s="105" customFormat="1">
      <c r="C114" s="106" t="s">
        <v>171</v>
      </c>
      <c r="D114" s="182">
        <f>'CDM8 Raw'!$AL1</f>
        <v>0</v>
      </c>
      <c r="E114" s="182">
        <f>'CDM8 Raw'!$AL13</f>
        <v>0</v>
      </c>
      <c r="F114" s="182">
        <f>'CDM8 Raw'!$AL25</f>
        <v>0</v>
      </c>
      <c r="G114" s="108">
        <f>AVERAGE(D114:F114)</f>
        <v>0</v>
      </c>
      <c r="H114" s="109">
        <f>MAX(D114:F114)</f>
        <v>0</v>
      </c>
      <c r="I114" s="107">
        <f>MIN(D114:F114)</f>
        <v>0</v>
      </c>
      <c r="J114" s="110">
        <f>_xlfn.STDEV.P(D114:F114)</f>
        <v>0</v>
      </c>
    </row>
    <row r="115" spans="2:10">
      <c r="C115" s="7" t="s">
        <v>173</v>
      </c>
      <c r="D115" s="182">
        <f>'CDM8 Raw'!$AL2</f>
        <v>0</v>
      </c>
      <c r="E115" s="182">
        <f>'CDM8 Raw'!$AL14</f>
        <v>0</v>
      </c>
      <c r="F115" s="182">
        <f>'CDM8 Raw'!$AL26</f>
        <v>0</v>
      </c>
      <c r="G115" s="108">
        <f t="shared" ref="G115:G125" si="38">AVERAGE(D115:F115)</f>
        <v>0</v>
      </c>
      <c r="H115" s="109">
        <f t="shared" ref="H115:H125" si="39">MAX(D115:F115)</f>
        <v>0</v>
      </c>
      <c r="I115" s="107">
        <f t="shared" ref="I115:I125" si="40">MIN(D115:F115)</f>
        <v>0</v>
      </c>
      <c r="J115" s="110">
        <f t="shared" ref="J115:J121" si="41">_xlfn.STDEV.P(D115:F115)</f>
        <v>0</v>
      </c>
    </row>
    <row r="116" spans="2:10">
      <c r="C116" s="7" t="s">
        <v>175</v>
      </c>
      <c r="D116" s="182">
        <f>'CDM8 Raw'!$AN3</f>
        <v>0</v>
      </c>
      <c r="E116" s="182">
        <f>'CDM8 Raw'!$AN15</f>
        <v>0</v>
      </c>
      <c r="F116" s="182">
        <f>'CDM8 Raw'!$AN27</f>
        <v>0</v>
      </c>
      <c r="G116" s="108">
        <f t="shared" si="38"/>
        <v>0</v>
      </c>
      <c r="H116" s="109">
        <f t="shared" si="39"/>
        <v>0</v>
      </c>
      <c r="I116" s="107">
        <f t="shared" si="40"/>
        <v>0</v>
      </c>
      <c r="J116" s="110">
        <f t="shared" si="41"/>
        <v>0</v>
      </c>
    </row>
    <row r="117" spans="2:10">
      <c r="C117" s="7" t="s">
        <v>177</v>
      </c>
      <c r="D117" s="182">
        <f>'CDM8 Raw'!$AN4</f>
        <v>0</v>
      </c>
      <c r="E117" s="182">
        <f>'CDM8 Raw'!$AN16</f>
        <v>0</v>
      </c>
      <c r="F117" s="182">
        <f>'CDM8 Raw'!$AN28</f>
        <v>0</v>
      </c>
      <c r="G117" s="108">
        <f t="shared" si="38"/>
        <v>0</v>
      </c>
      <c r="H117" s="109">
        <f t="shared" si="39"/>
        <v>0</v>
      </c>
      <c r="I117" s="107">
        <f t="shared" si="40"/>
        <v>0</v>
      </c>
      <c r="J117" s="110">
        <f t="shared" si="41"/>
        <v>0</v>
      </c>
    </row>
    <row r="118" spans="2:10">
      <c r="C118" s="7" t="s">
        <v>172</v>
      </c>
      <c r="D118" s="182">
        <f>'CDM8 Raw'!$AL5</f>
        <v>0</v>
      </c>
      <c r="E118" s="182">
        <f>'CDM8 Raw'!$AL17</f>
        <v>0</v>
      </c>
      <c r="F118" s="182">
        <f>'CDM8 Raw'!$AL29</f>
        <v>0</v>
      </c>
      <c r="G118" s="108">
        <f t="shared" si="38"/>
        <v>0</v>
      </c>
      <c r="H118" s="109">
        <f t="shared" si="39"/>
        <v>0</v>
      </c>
      <c r="I118" s="107">
        <f t="shared" si="40"/>
        <v>0</v>
      </c>
      <c r="J118" s="110">
        <f t="shared" si="41"/>
        <v>0</v>
      </c>
    </row>
    <row r="119" spans="2:10">
      <c r="C119" s="7" t="s">
        <v>174</v>
      </c>
      <c r="D119" s="182">
        <f>'CDM8 Raw'!$AL6</f>
        <v>0</v>
      </c>
      <c r="E119" s="182">
        <f>'CDM8 Raw'!$AL18</f>
        <v>0</v>
      </c>
      <c r="F119" s="182">
        <f>'CDM8 Raw'!$AL30</f>
        <v>0</v>
      </c>
      <c r="G119" s="108">
        <f t="shared" si="38"/>
        <v>0</v>
      </c>
      <c r="H119" s="109">
        <f t="shared" si="39"/>
        <v>0</v>
      </c>
      <c r="I119" s="107">
        <f t="shared" si="40"/>
        <v>0</v>
      </c>
      <c r="J119" s="110">
        <f t="shared" si="41"/>
        <v>0</v>
      </c>
    </row>
    <row r="120" spans="2:10">
      <c r="B120" s="94"/>
      <c r="C120" s="7" t="s">
        <v>176</v>
      </c>
      <c r="D120" s="182">
        <f>'CDM8 Raw'!$AN7</f>
        <v>0</v>
      </c>
      <c r="E120" s="182">
        <f>'CDM8 Raw'!$AN19</f>
        <v>0</v>
      </c>
      <c r="F120" s="182">
        <f>'CDM8 Raw'!$AN31</f>
        <v>0</v>
      </c>
      <c r="G120" s="108">
        <f t="shared" si="38"/>
        <v>0</v>
      </c>
      <c r="H120" s="109">
        <f t="shared" si="39"/>
        <v>0</v>
      </c>
      <c r="I120" s="107">
        <f t="shared" si="40"/>
        <v>0</v>
      </c>
      <c r="J120" s="110">
        <f t="shared" si="41"/>
        <v>0</v>
      </c>
    </row>
    <row r="121" spans="2:10">
      <c r="C121" s="7" t="s">
        <v>52</v>
      </c>
      <c r="D121" s="182">
        <f>'CDM8 Raw'!$AN8</f>
        <v>0</v>
      </c>
      <c r="E121" s="182">
        <f>'CDM8 Raw'!$AN20</f>
        <v>0</v>
      </c>
      <c r="F121" s="182">
        <f>'CDM8 Raw'!$AN32</f>
        <v>0</v>
      </c>
      <c r="G121" s="108">
        <f t="shared" si="38"/>
        <v>0</v>
      </c>
      <c r="H121" s="109">
        <f t="shared" si="39"/>
        <v>0</v>
      </c>
      <c r="I121" s="107">
        <f t="shared" si="40"/>
        <v>0</v>
      </c>
      <c r="J121" s="110">
        <f t="shared" si="41"/>
        <v>0</v>
      </c>
    </row>
    <row r="122" spans="2:10">
      <c r="C122" s="7" t="s">
        <v>169</v>
      </c>
      <c r="D122" s="182">
        <f>'CDM8 Raw'!$AL9</f>
        <v>0</v>
      </c>
      <c r="E122" s="182">
        <f>'CDM8 Raw'!$AL21</f>
        <v>0</v>
      </c>
      <c r="F122" s="182">
        <f>'CDM8 Raw'!$AL33</f>
        <v>0</v>
      </c>
      <c r="G122" s="108">
        <f t="shared" si="38"/>
        <v>0</v>
      </c>
      <c r="H122" s="109">
        <f t="shared" si="39"/>
        <v>0</v>
      </c>
      <c r="I122" s="107">
        <f t="shared" si="40"/>
        <v>0</v>
      </c>
      <c r="J122" s="110">
        <f t="shared" ref="J122:J125" si="42">_xlfn.STDEV.P(D122:F122)</f>
        <v>0</v>
      </c>
    </row>
    <row r="123" spans="2:10">
      <c r="C123" s="7" t="s">
        <v>169</v>
      </c>
      <c r="D123" s="182">
        <f>'CDM8 Raw'!$AL10</f>
        <v>0</v>
      </c>
      <c r="E123" s="182">
        <f>'CDM8 Raw'!$AL22</f>
        <v>0</v>
      </c>
      <c r="F123" s="182">
        <f>'CDM8 Raw'!$AL34</f>
        <v>0</v>
      </c>
      <c r="G123" s="108">
        <f t="shared" si="38"/>
        <v>0</v>
      </c>
      <c r="H123" s="109">
        <f t="shared" si="39"/>
        <v>0</v>
      </c>
      <c r="I123" s="107">
        <f t="shared" si="40"/>
        <v>0</v>
      </c>
      <c r="J123" s="110">
        <f t="shared" si="42"/>
        <v>0</v>
      </c>
    </row>
    <row r="124" spans="2:10">
      <c r="C124" s="7" t="s">
        <v>170</v>
      </c>
      <c r="D124" s="182">
        <f>'CDM8 Raw'!$AN11</f>
        <v>0</v>
      </c>
      <c r="E124" s="182">
        <f>'CDM8 Raw'!$AN23</f>
        <v>0</v>
      </c>
      <c r="F124" s="182">
        <f>'CDM8 Raw'!$AN35</f>
        <v>0</v>
      </c>
      <c r="G124" s="108">
        <f t="shared" si="38"/>
        <v>0</v>
      </c>
      <c r="H124" s="109">
        <f t="shared" si="39"/>
        <v>0</v>
      </c>
      <c r="I124" s="107">
        <f t="shared" si="40"/>
        <v>0</v>
      </c>
      <c r="J124" s="110">
        <f t="shared" si="42"/>
        <v>0</v>
      </c>
    </row>
    <row r="125" spans="2:10" ht="15.75" thickBot="1">
      <c r="C125" s="13" t="s">
        <v>170</v>
      </c>
      <c r="D125" s="185">
        <f>'CDM8 Raw'!$AN12</f>
        <v>0</v>
      </c>
      <c r="E125" s="185">
        <f>'CDM8 Raw'!$AN24</f>
        <v>0</v>
      </c>
      <c r="F125" s="185">
        <f>'CDM8 Raw'!$AN36</f>
        <v>0</v>
      </c>
      <c r="G125" s="108">
        <f t="shared" si="38"/>
        <v>0</v>
      </c>
      <c r="H125" s="109">
        <f t="shared" si="39"/>
        <v>0</v>
      </c>
      <c r="I125" s="107">
        <f t="shared" si="40"/>
        <v>0</v>
      </c>
      <c r="J125" s="195">
        <f t="shared" si="42"/>
        <v>0</v>
      </c>
    </row>
    <row r="126" spans="2:10" ht="18" customHeight="1"/>
    <row r="127" spans="2:10" ht="15.75" hidden="1" thickBot="1">
      <c r="D127">
        <v>501.363</v>
      </c>
    </row>
    <row r="128" spans="2:10" ht="19.899999999999999" hidden="1" customHeight="1">
      <c r="C128" s="3" t="s">
        <v>106</v>
      </c>
      <c r="D128" s="281">
        <v>97588.9</v>
      </c>
      <c r="E128" s="282"/>
      <c r="F128" s="282"/>
      <c r="G128" s="282"/>
      <c r="H128" s="282"/>
      <c r="I128" s="282"/>
      <c r="J128" s="283"/>
    </row>
    <row r="129" spans="3:10" hidden="1">
      <c r="C129" s="4" t="s">
        <v>4</v>
      </c>
      <c r="D129" s="278">
        <v>80359.899999999994</v>
      </c>
      <c r="E129" s="279"/>
      <c r="F129" s="279"/>
      <c r="G129" s="279"/>
      <c r="H129" s="279"/>
      <c r="I129" s="279"/>
      <c r="J129" s="280"/>
    </row>
    <row r="130" spans="3:10" hidden="1">
      <c r="C130" s="4" t="s">
        <v>5</v>
      </c>
      <c r="D130" s="5">
        <v>537.41600000000005</v>
      </c>
      <c r="E130" s="5" t="s">
        <v>7</v>
      </c>
      <c r="F130" s="5" t="s">
        <v>8</v>
      </c>
      <c r="G130" s="5" t="s">
        <v>9</v>
      </c>
      <c r="H130" s="5" t="s">
        <v>10</v>
      </c>
      <c r="I130" s="5" t="s">
        <v>11</v>
      </c>
      <c r="J130" s="6" t="s">
        <v>12</v>
      </c>
    </row>
    <row r="131" spans="3:10" hidden="1">
      <c r="C131" s="27" t="s">
        <v>45</v>
      </c>
      <c r="D131" s="8">
        <v>469.55099999999999</v>
      </c>
      <c r="E131" s="8"/>
      <c r="F131" s="8"/>
      <c r="G131" s="9">
        <f>AVERAGE(D131:F131)</f>
        <v>469.55099999999999</v>
      </c>
      <c r="H131" s="10">
        <f>MAX(D131:F131)</f>
        <v>469.55099999999999</v>
      </c>
      <c r="I131" s="8">
        <f>MIN(D131:F131)</f>
        <v>469.55099999999999</v>
      </c>
      <c r="J131" s="11">
        <f>_xlfn.STDEV.P(D131:F131)</f>
        <v>0</v>
      </c>
    </row>
    <row r="132" spans="3:10" hidden="1">
      <c r="C132" s="7" t="s">
        <v>46</v>
      </c>
      <c r="D132" s="8">
        <v>10827.1</v>
      </c>
      <c r="E132" s="8"/>
      <c r="F132" s="8"/>
      <c r="G132" s="9">
        <f t="shared" ref="G132:G138" si="43">AVERAGE(D132:F132)</f>
        <v>10827.1</v>
      </c>
      <c r="H132" s="10">
        <f t="shared" ref="H132:H138" si="44">MAX(D132:F132)</f>
        <v>10827.1</v>
      </c>
      <c r="I132" s="8">
        <f t="shared" ref="I132:I138" si="45">MIN(D132:F132)</f>
        <v>10827.1</v>
      </c>
      <c r="J132" s="11">
        <f t="shared" ref="J132:J138" si="46">_xlfn.STDEV.P(D132:F132)</f>
        <v>0</v>
      </c>
    </row>
    <row r="133" spans="3:10" hidden="1">
      <c r="C133" s="7" t="s">
        <v>64</v>
      </c>
      <c r="D133" s="8">
        <v>33906.5</v>
      </c>
      <c r="E133" s="8"/>
      <c r="F133" s="8"/>
      <c r="G133" s="9">
        <f t="shared" si="43"/>
        <v>33906.5</v>
      </c>
      <c r="H133" s="10">
        <f t="shared" si="44"/>
        <v>33906.5</v>
      </c>
      <c r="I133" s="8">
        <f t="shared" si="45"/>
        <v>33906.5</v>
      </c>
      <c r="J133" s="11">
        <f t="shared" si="46"/>
        <v>0</v>
      </c>
    </row>
    <row r="134" spans="3:10" hidden="1">
      <c r="C134" s="7" t="s">
        <v>63</v>
      </c>
      <c r="D134" s="8">
        <v>561.41600000000005</v>
      </c>
      <c r="E134" s="8"/>
      <c r="F134" s="8"/>
      <c r="G134" s="9">
        <f t="shared" si="43"/>
        <v>561.41600000000005</v>
      </c>
      <c r="H134" s="10">
        <f t="shared" si="44"/>
        <v>561.41600000000005</v>
      </c>
      <c r="I134" s="8">
        <f t="shared" si="45"/>
        <v>561.41600000000005</v>
      </c>
      <c r="J134" s="11">
        <f t="shared" si="46"/>
        <v>0</v>
      </c>
    </row>
    <row r="135" spans="3:10" hidden="1">
      <c r="C135" s="7" t="s">
        <v>146</v>
      </c>
      <c r="D135" s="8">
        <v>534.06200000000001</v>
      </c>
      <c r="E135" s="8"/>
      <c r="F135" s="8"/>
      <c r="G135" s="9">
        <f t="shared" si="43"/>
        <v>534.06200000000001</v>
      </c>
      <c r="H135" s="10">
        <f t="shared" si="44"/>
        <v>534.06200000000001</v>
      </c>
      <c r="I135" s="8">
        <f t="shared" si="45"/>
        <v>534.06200000000001</v>
      </c>
      <c r="J135" s="11">
        <f t="shared" si="46"/>
        <v>0</v>
      </c>
    </row>
    <row r="136" spans="3:10" hidden="1">
      <c r="C136" s="7" t="s">
        <v>147</v>
      </c>
      <c r="D136" s="8">
        <v>99156.5</v>
      </c>
      <c r="E136" s="8"/>
      <c r="F136" s="8"/>
      <c r="G136" s="9">
        <f t="shared" si="43"/>
        <v>99156.5</v>
      </c>
      <c r="H136" s="10">
        <f t="shared" si="44"/>
        <v>99156.5</v>
      </c>
      <c r="I136" s="8">
        <f t="shared" si="45"/>
        <v>99156.5</v>
      </c>
      <c r="J136" s="11">
        <f t="shared" si="46"/>
        <v>0</v>
      </c>
    </row>
    <row r="137" spans="3:10" hidden="1">
      <c r="C137" s="92" t="s">
        <v>149</v>
      </c>
      <c r="D137" s="62">
        <v>81833</v>
      </c>
      <c r="E137" s="8"/>
      <c r="F137" s="8"/>
      <c r="G137" s="9">
        <f t="shared" si="43"/>
        <v>81833</v>
      </c>
      <c r="H137" s="10">
        <f t="shared" si="44"/>
        <v>81833</v>
      </c>
      <c r="I137" s="8">
        <f t="shared" si="45"/>
        <v>81833</v>
      </c>
      <c r="J137" s="11">
        <f t="shared" si="46"/>
        <v>0</v>
      </c>
    </row>
    <row r="138" spans="3:10" ht="18" hidden="1" customHeight="1" thickBot="1">
      <c r="C138" s="13" t="s">
        <v>148</v>
      </c>
      <c r="D138" s="14">
        <v>528.26800000000003</v>
      </c>
      <c r="E138" s="14"/>
      <c r="F138" s="14"/>
      <c r="G138" s="9">
        <f t="shared" si="43"/>
        <v>528.26800000000003</v>
      </c>
      <c r="H138" s="10">
        <f t="shared" si="44"/>
        <v>528.26800000000003</v>
      </c>
      <c r="I138" s="8">
        <f t="shared" si="45"/>
        <v>528.26800000000003</v>
      </c>
      <c r="J138" s="11">
        <f t="shared" si="46"/>
        <v>0</v>
      </c>
    </row>
    <row r="139" spans="3:10" ht="39.6" hidden="1" customHeight="1" thickBot="1">
      <c r="D139">
        <v>472.94900000000001</v>
      </c>
    </row>
    <row r="140" spans="3:10" hidden="1">
      <c r="C140" s="3" t="s">
        <v>108</v>
      </c>
      <c r="D140" s="281">
        <v>10957.3</v>
      </c>
      <c r="E140" s="282"/>
      <c r="F140" s="282"/>
      <c r="G140" s="282"/>
      <c r="H140" s="282"/>
      <c r="I140" s="282"/>
      <c r="J140" s="283"/>
    </row>
    <row r="141" spans="3:10" hidden="1">
      <c r="C141" s="4" t="s">
        <v>4</v>
      </c>
      <c r="D141" s="278">
        <v>33892.300000000003</v>
      </c>
      <c r="E141" s="279"/>
      <c r="F141" s="279"/>
      <c r="G141" s="279"/>
      <c r="H141" s="279"/>
      <c r="I141" s="279"/>
      <c r="J141" s="280"/>
    </row>
    <row r="142" spans="3:10" hidden="1">
      <c r="C142" s="4" t="s">
        <v>5</v>
      </c>
      <c r="D142" s="5" t="s">
        <v>6</v>
      </c>
      <c r="E142" s="5" t="s">
        <v>7</v>
      </c>
      <c r="F142" s="5" t="s">
        <v>8</v>
      </c>
      <c r="G142" s="5" t="s">
        <v>9</v>
      </c>
      <c r="H142" s="5" t="s">
        <v>10</v>
      </c>
      <c r="I142" s="5" t="s">
        <v>11</v>
      </c>
      <c r="J142" s="6" t="s">
        <v>12</v>
      </c>
    </row>
    <row r="143" spans="3:10" hidden="1">
      <c r="C143" s="27" t="s">
        <v>45</v>
      </c>
      <c r="D143" s="8"/>
      <c r="E143" s="8"/>
      <c r="F143" s="8"/>
      <c r="G143" s="9" t="e">
        <f>AVERAGE(D143:F143)</f>
        <v>#DIV/0!</v>
      </c>
      <c r="H143" s="10">
        <f>MAX(D143:F143)</f>
        <v>0</v>
      </c>
      <c r="I143" s="8">
        <f>MIN(D143:F143)</f>
        <v>0</v>
      </c>
      <c r="J143" s="11" t="e">
        <f>_xlfn.STDEV.P(D143:F143)</f>
        <v>#DIV/0!</v>
      </c>
    </row>
    <row r="144" spans="3:10" hidden="1">
      <c r="C144" s="7" t="s">
        <v>46</v>
      </c>
      <c r="D144" s="8"/>
      <c r="E144" s="8"/>
      <c r="F144" s="8"/>
      <c r="G144" s="9" t="e">
        <f t="shared" ref="G144:G150" si="47">AVERAGE(D144:F144)</f>
        <v>#DIV/0!</v>
      </c>
      <c r="H144" s="10">
        <f t="shared" ref="H144:H150" si="48">MAX(D144:F144)</f>
        <v>0</v>
      </c>
      <c r="I144" s="8">
        <f t="shared" ref="I144:I150" si="49">MIN(D144:F144)</f>
        <v>0</v>
      </c>
      <c r="J144" s="11" t="e">
        <f t="shared" ref="J144:J150" si="50">_xlfn.STDEV.P(D144:F144)</f>
        <v>#DIV/0!</v>
      </c>
    </row>
    <row r="145" spans="3:15" hidden="1">
      <c r="C145" s="7" t="s">
        <v>64</v>
      </c>
      <c r="D145" s="8"/>
      <c r="E145" s="8"/>
      <c r="F145" s="8"/>
      <c r="G145" s="9" t="e">
        <f t="shared" si="47"/>
        <v>#DIV/0!</v>
      </c>
      <c r="H145" s="10">
        <f t="shared" si="48"/>
        <v>0</v>
      </c>
      <c r="I145" s="8">
        <f t="shared" si="49"/>
        <v>0</v>
      </c>
      <c r="J145" s="11" t="e">
        <f t="shared" si="50"/>
        <v>#DIV/0!</v>
      </c>
    </row>
    <row r="146" spans="3:15" hidden="1">
      <c r="C146" s="7" t="s">
        <v>63</v>
      </c>
      <c r="D146" s="8"/>
      <c r="E146" s="8"/>
      <c r="F146" s="8"/>
      <c r="G146" s="9" t="e">
        <f t="shared" si="47"/>
        <v>#DIV/0!</v>
      </c>
      <c r="H146" s="10">
        <f t="shared" si="48"/>
        <v>0</v>
      </c>
      <c r="I146" s="8">
        <f t="shared" si="49"/>
        <v>0</v>
      </c>
      <c r="J146" s="11" t="e">
        <f t="shared" si="50"/>
        <v>#DIV/0!</v>
      </c>
    </row>
    <row r="147" spans="3:15" hidden="1">
      <c r="C147" s="7" t="s">
        <v>146</v>
      </c>
      <c r="D147" s="8"/>
      <c r="E147" s="8"/>
      <c r="F147" s="8"/>
      <c r="G147" s="9" t="e">
        <f t="shared" si="47"/>
        <v>#DIV/0!</v>
      </c>
      <c r="H147" s="10">
        <f t="shared" si="48"/>
        <v>0</v>
      </c>
      <c r="I147" s="8">
        <f t="shared" si="49"/>
        <v>0</v>
      </c>
      <c r="J147" s="11" t="e">
        <f t="shared" si="50"/>
        <v>#DIV/0!</v>
      </c>
    </row>
    <row r="148" spans="3:15" hidden="1">
      <c r="C148" s="7" t="s">
        <v>147</v>
      </c>
      <c r="D148" s="8"/>
      <c r="E148" s="8"/>
      <c r="F148" s="8"/>
      <c r="G148" s="9" t="e">
        <f t="shared" si="47"/>
        <v>#DIV/0!</v>
      </c>
      <c r="H148" s="10">
        <f t="shared" si="48"/>
        <v>0</v>
      </c>
      <c r="I148" s="8">
        <f t="shared" si="49"/>
        <v>0</v>
      </c>
      <c r="J148" s="11" t="e">
        <f t="shared" si="50"/>
        <v>#DIV/0!</v>
      </c>
    </row>
    <row r="149" spans="3:15" hidden="1">
      <c r="C149" s="92" t="s">
        <v>149</v>
      </c>
      <c r="D149" s="62"/>
      <c r="E149" s="8"/>
      <c r="F149" s="8"/>
      <c r="G149" s="9" t="e">
        <f t="shared" si="47"/>
        <v>#DIV/0!</v>
      </c>
      <c r="H149" s="10">
        <f t="shared" si="48"/>
        <v>0</v>
      </c>
      <c r="I149" s="8">
        <f t="shared" si="49"/>
        <v>0</v>
      </c>
      <c r="J149" s="11" t="e">
        <f t="shared" si="50"/>
        <v>#DIV/0!</v>
      </c>
    </row>
    <row r="150" spans="3:15" ht="15.75" hidden="1" thickBot="1">
      <c r="C150" s="13" t="s">
        <v>148</v>
      </c>
      <c r="D150" s="14"/>
      <c r="E150" s="14"/>
      <c r="F150" s="14"/>
      <c r="G150" s="9" t="e">
        <f t="shared" si="47"/>
        <v>#DIV/0!</v>
      </c>
      <c r="H150" s="10">
        <f t="shared" si="48"/>
        <v>0</v>
      </c>
      <c r="I150" s="8">
        <f t="shared" si="49"/>
        <v>0</v>
      </c>
      <c r="J150" s="11" t="e">
        <f t="shared" si="50"/>
        <v>#DIV/0!</v>
      </c>
    </row>
    <row r="151" spans="3:15" hidden="1"/>
    <row r="152" spans="3:15" ht="15.75" hidden="1" thickBot="1"/>
    <row r="153" spans="3:15" ht="15.75" hidden="1" thickBot="1">
      <c r="C153" s="3" t="s">
        <v>110</v>
      </c>
      <c r="D153" s="281" t="s">
        <v>111</v>
      </c>
      <c r="E153" s="282"/>
      <c r="F153" s="282"/>
      <c r="G153" s="282"/>
      <c r="H153" s="282"/>
      <c r="I153" s="282"/>
      <c r="J153" s="283"/>
      <c r="O153" s="74"/>
    </row>
    <row r="154" spans="3:15" hidden="1">
      <c r="C154" s="4" t="s">
        <v>4</v>
      </c>
      <c r="D154" s="278" t="str">
        <f>BICS6_Performance!AQ12</f>
        <v>A0002ADS</v>
      </c>
      <c r="E154" s="279"/>
      <c r="F154" s="279"/>
      <c r="G154" s="279"/>
      <c r="H154" s="279"/>
      <c r="I154" s="279"/>
      <c r="J154" s="280"/>
    </row>
    <row r="155" spans="3:15" hidden="1">
      <c r="C155" s="4" t="s">
        <v>5</v>
      </c>
      <c r="D155" s="5" t="s">
        <v>6</v>
      </c>
      <c r="E155" s="5" t="s">
        <v>7</v>
      </c>
      <c r="F155" s="5" t="s">
        <v>8</v>
      </c>
      <c r="G155" s="5" t="s">
        <v>9</v>
      </c>
      <c r="H155" s="5" t="s">
        <v>10</v>
      </c>
      <c r="I155" s="5" t="s">
        <v>11</v>
      </c>
      <c r="J155" s="6" t="s">
        <v>12</v>
      </c>
    </row>
    <row r="156" spans="3:15" hidden="1">
      <c r="C156" s="27" t="s">
        <v>45</v>
      </c>
      <c r="D156" s="8"/>
      <c r="E156" s="8"/>
      <c r="F156" s="8"/>
      <c r="G156" s="9" t="e">
        <f>AVERAGE(D156:F156)</f>
        <v>#DIV/0!</v>
      </c>
      <c r="H156" s="10">
        <f>MAX(D156:F156)</f>
        <v>0</v>
      </c>
      <c r="I156" s="8">
        <f>MIN(D156:F156)</f>
        <v>0</v>
      </c>
      <c r="J156" s="11" t="e">
        <f>_xlfn.STDEV.P(D156:F156)</f>
        <v>#DIV/0!</v>
      </c>
    </row>
    <row r="157" spans="3:15" hidden="1">
      <c r="C157" s="7" t="s">
        <v>46</v>
      </c>
      <c r="D157" s="8"/>
      <c r="E157" s="8"/>
      <c r="F157" s="8"/>
      <c r="G157" s="9" t="e">
        <f t="shared" ref="G157:G162" si="51">AVERAGE(D157:F157)</f>
        <v>#DIV/0!</v>
      </c>
      <c r="H157" s="10">
        <f t="shared" ref="H157:H163" si="52">MAX(D157:F157)</f>
        <v>0</v>
      </c>
      <c r="I157" s="8">
        <f t="shared" ref="I157:I163" si="53">MIN(D157:F157)</f>
        <v>0</v>
      </c>
      <c r="J157" s="11" t="e">
        <f t="shared" ref="J157:J163" si="54">_xlfn.STDEV.P(D157:F157)</f>
        <v>#DIV/0!</v>
      </c>
    </row>
    <row r="158" spans="3:15" hidden="1">
      <c r="C158" s="7" t="s">
        <v>64</v>
      </c>
      <c r="D158" s="8"/>
      <c r="E158" s="8"/>
      <c r="F158" s="8"/>
      <c r="G158" s="9" t="e">
        <f t="shared" si="51"/>
        <v>#DIV/0!</v>
      </c>
      <c r="H158" s="10">
        <f t="shared" si="52"/>
        <v>0</v>
      </c>
      <c r="I158" s="8">
        <f t="shared" si="53"/>
        <v>0</v>
      </c>
      <c r="J158" s="11" t="e">
        <f t="shared" si="54"/>
        <v>#DIV/0!</v>
      </c>
    </row>
    <row r="159" spans="3:15" hidden="1">
      <c r="C159" s="7" t="s">
        <v>63</v>
      </c>
      <c r="D159" s="8"/>
      <c r="E159" s="8"/>
      <c r="F159" s="8"/>
      <c r="G159" s="9" t="e">
        <f t="shared" si="51"/>
        <v>#DIV/0!</v>
      </c>
      <c r="H159" s="10">
        <f t="shared" si="52"/>
        <v>0</v>
      </c>
      <c r="I159" s="8">
        <f t="shared" si="53"/>
        <v>0</v>
      </c>
      <c r="J159" s="11" t="e">
        <f t="shared" si="54"/>
        <v>#DIV/0!</v>
      </c>
    </row>
    <row r="160" spans="3:15" hidden="1">
      <c r="C160" s="7" t="s">
        <v>146</v>
      </c>
      <c r="D160" s="8"/>
      <c r="E160" s="8"/>
      <c r="F160" s="8"/>
      <c r="G160" s="9" t="e">
        <f t="shared" si="51"/>
        <v>#DIV/0!</v>
      </c>
      <c r="H160" s="10">
        <f t="shared" si="52"/>
        <v>0</v>
      </c>
      <c r="I160" s="8">
        <f t="shared" si="53"/>
        <v>0</v>
      </c>
      <c r="J160" s="11" t="e">
        <f t="shared" si="54"/>
        <v>#DIV/0!</v>
      </c>
    </row>
    <row r="161" spans="3:15" hidden="1">
      <c r="C161" s="7" t="s">
        <v>147</v>
      </c>
      <c r="D161" s="8"/>
      <c r="E161" s="8"/>
      <c r="F161" s="8"/>
      <c r="G161" s="9" t="e">
        <f t="shared" si="51"/>
        <v>#DIV/0!</v>
      </c>
      <c r="H161" s="10">
        <f t="shared" si="52"/>
        <v>0</v>
      </c>
      <c r="I161" s="8">
        <f t="shared" si="53"/>
        <v>0</v>
      </c>
      <c r="J161" s="11" t="e">
        <f t="shared" si="54"/>
        <v>#DIV/0!</v>
      </c>
    </row>
    <row r="162" spans="3:15" hidden="1">
      <c r="C162" s="92" t="s">
        <v>149</v>
      </c>
      <c r="D162" s="62"/>
      <c r="E162" s="8"/>
      <c r="F162" s="8"/>
      <c r="G162" s="9" t="e">
        <f t="shared" si="51"/>
        <v>#DIV/0!</v>
      </c>
      <c r="H162" s="10">
        <f t="shared" si="52"/>
        <v>0</v>
      </c>
      <c r="I162" s="8">
        <f t="shared" si="53"/>
        <v>0</v>
      </c>
      <c r="J162" s="11" t="e">
        <f t="shared" si="54"/>
        <v>#DIV/0!</v>
      </c>
    </row>
    <row r="163" spans="3:15" ht="15.75" hidden="1" thickBot="1">
      <c r="C163" s="13" t="s">
        <v>148</v>
      </c>
      <c r="D163" s="14"/>
      <c r="E163" s="14"/>
      <c r="F163" s="14"/>
      <c r="G163" s="50" t="e">
        <f>AVERAGE(D163:F163)</f>
        <v>#DIV/0!</v>
      </c>
      <c r="H163" s="16">
        <f t="shared" si="52"/>
        <v>0</v>
      </c>
      <c r="I163" s="14">
        <f t="shared" si="53"/>
        <v>0</v>
      </c>
      <c r="J163" s="17" t="e">
        <f t="shared" si="54"/>
        <v>#DIV/0!</v>
      </c>
    </row>
    <row r="164" spans="3:15" ht="18" hidden="1" customHeight="1" thickBot="1"/>
    <row r="165" spans="3:15" ht="15.75" hidden="1" thickBot="1">
      <c r="C165" s="3" t="s">
        <v>114</v>
      </c>
      <c r="D165" s="281" t="s">
        <v>111</v>
      </c>
      <c r="E165" s="282"/>
      <c r="F165" s="282"/>
      <c r="G165" s="282"/>
      <c r="H165" s="282"/>
      <c r="I165" s="282"/>
      <c r="J165" s="283"/>
      <c r="O165" s="74"/>
    </row>
    <row r="166" spans="3:15" hidden="1">
      <c r="C166" s="4" t="s">
        <v>4</v>
      </c>
      <c r="D166" s="278" t="str">
        <f>BICS6_Performance!AH12</f>
        <v>N0690ALD</v>
      </c>
      <c r="E166" s="279"/>
      <c r="F166" s="279"/>
      <c r="G166" s="279"/>
      <c r="H166" s="279"/>
      <c r="I166" s="279"/>
      <c r="J166" s="280"/>
    </row>
    <row r="167" spans="3:15" hidden="1">
      <c r="C167" s="4" t="s">
        <v>5</v>
      </c>
      <c r="D167" s="5" t="s">
        <v>6</v>
      </c>
      <c r="E167" s="5" t="s">
        <v>7</v>
      </c>
      <c r="F167" s="5" t="s">
        <v>8</v>
      </c>
      <c r="G167" s="5" t="s">
        <v>9</v>
      </c>
      <c r="H167" s="5" t="s">
        <v>10</v>
      </c>
      <c r="I167" s="5" t="s">
        <v>11</v>
      </c>
      <c r="J167" s="6" t="s">
        <v>12</v>
      </c>
    </row>
    <row r="168" spans="3:15" hidden="1">
      <c r="C168" s="27" t="s">
        <v>45</v>
      </c>
      <c r="D168" s="8"/>
      <c r="E168" s="8"/>
      <c r="F168" s="8"/>
      <c r="G168" s="9" t="e">
        <f>AVERAGE(D168:F168)</f>
        <v>#DIV/0!</v>
      </c>
      <c r="H168" s="10">
        <f>MAX(D168:F168)</f>
        <v>0</v>
      </c>
      <c r="I168" s="8">
        <f>MIN(D168:F168)</f>
        <v>0</v>
      </c>
      <c r="J168" s="11" t="e">
        <f>_xlfn.STDEV.P(D168:F168)</f>
        <v>#DIV/0!</v>
      </c>
    </row>
    <row r="169" spans="3:15" hidden="1">
      <c r="C169" s="7" t="s">
        <v>46</v>
      </c>
      <c r="D169" s="8"/>
      <c r="E169" s="8"/>
      <c r="F169" s="8"/>
      <c r="G169" s="9" t="e">
        <f t="shared" ref="G169:G174" si="55">AVERAGE(D169:F169)</f>
        <v>#DIV/0!</v>
      </c>
      <c r="H169" s="10">
        <f t="shared" ref="H169:H175" si="56">MAX(D169:F169)</f>
        <v>0</v>
      </c>
      <c r="I169" s="8">
        <f t="shared" ref="I169:I175" si="57">MIN(D169:F169)</f>
        <v>0</v>
      </c>
      <c r="J169" s="11" t="e">
        <f t="shared" ref="J169:J175" si="58">_xlfn.STDEV.P(D169:F169)</f>
        <v>#DIV/0!</v>
      </c>
    </row>
    <row r="170" spans="3:15" hidden="1">
      <c r="C170" s="7" t="s">
        <v>64</v>
      </c>
      <c r="D170" s="8"/>
      <c r="E170" s="8"/>
      <c r="F170" s="8"/>
      <c r="G170" s="9" t="e">
        <f t="shared" si="55"/>
        <v>#DIV/0!</v>
      </c>
      <c r="H170" s="10">
        <f t="shared" si="56"/>
        <v>0</v>
      </c>
      <c r="I170" s="8">
        <f t="shared" si="57"/>
        <v>0</v>
      </c>
      <c r="J170" s="11" t="e">
        <f t="shared" si="58"/>
        <v>#DIV/0!</v>
      </c>
    </row>
    <row r="171" spans="3:15" hidden="1">
      <c r="C171" s="7" t="s">
        <v>63</v>
      </c>
      <c r="D171" s="8"/>
      <c r="E171" s="8"/>
      <c r="F171" s="8"/>
      <c r="G171" s="9" t="e">
        <f t="shared" si="55"/>
        <v>#DIV/0!</v>
      </c>
      <c r="H171" s="10">
        <f t="shared" si="56"/>
        <v>0</v>
      </c>
      <c r="I171" s="8">
        <f t="shared" si="57"/>
        <v>0</v>
      </c>
      <c r="J171" s="11" t="e">
        <f t="shared" si="58"/>
        <v>#DIV/0!</v>
      </c>
    </row>
    <row r="172" spans="3:15" hidden="1">
      <c r="C172" s="7" t="s">
        <v>146</v>
      </c>
      <c r="D172" s="8"/>
      <c r="E172" s="8"/>
      <c r="F172" s="8"/>
      <c r="G172" s="9" t="e">
        <f t="shared" si="55"/>
        <v>#DIV/0!</v>
      </c>
      <c r="H172" s="10">
        <f t="shared" si="56"/>
        <v>0</v>
      </c>
      <c r="I172" s="8">
        <f t="shared" si="57"/>
        <v>0</v>
      </c>
      <c r="J172" s="11" t="e">
        <f t="shared" si="58"/>
        <v>#DIV/0!</v>
      </c>
    </row>
    <row r="173" spans="3:15" hidden="1">
      <c r="C173" s="7" t="s">
        <v>147</v>
      </c>
      <c r="D173" s="8"/>
      <c r="E173" s="8"/>
      <c r="F173" s="8"/>
      <c r="G173" s="9" t="e">
        <f t="shared" si="55"/>
        <v>#DIV/0!</v>
      </c>
      <c r="H173" s="10">
        <f t="shared" si="56"/>
        <v>0</v>
      </c>
      <c r="I173" s="8">
        <f t="shared" si="57"/>
        <v>0</v>
      </c>
      <c r="J173" s="11" t="e">
        <f t="shared" si="58"/>
        <v>#DIV/0!</v>
      </c>
    </row>
    <row r="174" spans="3:15" hidden="1">
      <c r="C174" s="92" t="s">
        <v>149</v>
      </c>
      <c r="D174" s="62"/>
      <c r="E174" s="8"/>
      <c r="F174" s="8"/>
      <c r="G174" s="9" t="e">
        <f t="shared" si="55"/>
        <v>#DIV/0!</v>
      </c>
      <c r="H174" s="10">
        <f t="shared" si="56"/>
        <v>0</v>
      </c>
      <c r="I174" s="8">
        <f t="shared" si="57"/>
        <v>0</v>
      </c>
      <c r="J174" s="11" t="e">
        <f t="shared" si="58"/>
        <v>#DIV/0!</v>
      </c>
    </row>
    <row r="175" spans="3:15" ht="15.75" hidden="1" thickBot="1">
      <c r="C175" s="13" t="s">
        <v>148</v>
      </c>
      <c r="D175" s="14"/>
      <c r="E175" s="14"/>
      <c r="F175" s="14"/>
      <c r="G175" s="50" t="e">
        <f>AVERAGE(D175:F175)</f>
        <v>#DIV/0!</v>
      </c>
      <c r="H175" s="16">
        <f t="shared" si="56"/>
        <v>0</v>
      </c>
      <c r="I175" s="14">
        <f t="shared" si="57"/>
        <v>0</v>
      </c>
      <c r="J175" s="17" t="e">
        <f t="shared" si="58"/>
        <v>#DIV/0!</v>
      </c>
    </row>
    <row r="176" spans="3:15" ht="15.75" hidden="1" thickBot="1"/>
    <row r="177" spans="3:15" ht="15.75" hidden="1" thickBot="1">
      <c r="C177" s="3" t="s">
        <v>113</v>
      </c>
      <c r="D177" s="281" t="s">
        <v>104</v>
      </c>
      <c r="E177" s="282"/>
      <c r="F177" s="282"/>
      <c r="G177" s="282"/>
      <c r="H177" s="282"/>
      <c r="I177" s="282"/>
      <c r="J177" s="283"/>
      <c r="O177" s="74"/>
    </row>
    <row r="178" spans="3:15" hidden="1">
      <c r="C178" s="4" t="s">
        <v>4</v>
      </c>
      <c r="D178" s="278" t="str">
        <f>BICS6_Performance!AK12</f>
        <v>N0690ALS</v>
      </c>
      <c r="E178" s="279"/>
      <c r="F178" s="279"/>
      <c r="G178" s="279"/>
      <c r="H178" s="279"/>
      <c r="I178" s="279"/>
      <c r="J178" s="280"/>
    </row>
    <row r="179" spans="3:15" hidden="1">
      <c r="C179" s="4" t="s">
        <v>5</v>
      </c>
      <c r="D179" s="5" t="s">
        <v>6</v>
      </c>
      <c r="E179" s="5" t="s">
        <v>7</v>
      </c>
      <c r="F179" s="5" t="s">
        <v>8</v>
      </c>
      <c r="G179" s="5" t="s">
        <v>9</v>
      </c>
      <c r="H179" s="5" t="s">
        <v>10</v>
      </c>
      <c r="I179" s="5" t="s">
        <v>11</v>
      </c>
      <c r="J179" s="6" t="s">
        <v>12</v>
      </c>
    </row>
    <row r="180" spans="3:15" hidden="1">
      <c r="C180" s="27" t="s">
        <v>45</v>
      </c>
      <c r="D180" s="8"/>
      <c r="E180" s="8"/>
      <c r="F180" s="8"/>
      <c r="G180" s="9" t="e">
        <f>AVERAGE(D180:F180)</f>
        <v>#DIV/0!</v>
      </c>
      <c r="H180" s="10">
        <f>MAX(D180:F180)</f>
        <v>0</v>
      </c>
      <c r="I180" s="8">
        <f>MIN(D180:F180)</f>
        <v>0</v>
      </c>
      <c r="J180" s="11" t="e">
        <f>_xlfn.STDEV.P(D180:F180)</f>
        <v>#DIV/0!</v>
      </c>
    </row>
    <row r="181" spans="3:15" hidden="1">
      <c r="C181" s="7" t="s">
        <v>46</v>
      </c>
      <c r="D181" s="8"/>
      <c r="E181" s="8"/>
      <c r="F181" s="8"/>
      <c r="G181" s="9" t="e">
        <f t="shared" ref="G181:G186" si="59">AVERAGE(D181:F181)</f>
        <v>#DIV/0!</v>
      </c>
      <c r="H181" s="10">
        <f t="shared" ref="H181:H187" si="60">MAX(D181:F181)</f>
        <v>0</v>
      </c>
      <c r="I181" s="8">
        <f t="shared" ref="I181:I187" si="61">MIN(D181:F181)</f>
        <v>0</v>
      </c>
      <c r="J181" s="11" t="e">
        <f t="shared" ref="J181:J187" si="62">_xlfn.STDEV.P(D181:F181)</f>
        <v>#DIV/0!</v>
      </c>
    </row>
    <row r="182" spans="3:15" hidden="1">
      <c r="C182" s="7" t="s">
        <v>64</v>
      </c>
      <c r="D182" s="8"/>
      <c r="E182" s="8"/>
      <c r="F182" s="8"/>
      <c r="G182" s="9" t="e">
        <f t="shared" si="59"/>
        <v>#DIV/0!</v>
      </c>
      <c r="H182" s="10">
        <f t="shared" si="60"/>
        <v>0</v>
      </c>
      <c r="I182" s="8">
        <f t="shared" si="61"/>
        <v>0</v>
      </c>
      <c r="J182" s="11" t="e">
        <f t="shared" si="62"/>
        <v>#DIV/0!</v>
      </c>
    </row>
    <row r="183" spans="3:15" hidden="1">
      <c r="C183" s="7" t="s">
        <v>63</v>
      </c>
      <c r="D183" s="8"/>
      <c r="E183" s="8"/>
      <c r="F183" s="8"/>
      <c r="G183" s="9" t="e">
        <f t="shared" si="59"/>
        <v>#DIV/0!</v>
      </c>
      <c r="H183" s="10">
        <f t="shared" si="60"/>
        <v>0</v>
      </c>
      <c r="I183" s="8">
        <f t="shared" si="61"/>
        <v>0</v>
      </c>
      <c r="J183" s="11" t="e">
        <f t="shared" si="62"/>
        <v>#DIV/0!</v>
      </c>
    </row>
    <row r="184" spans="3:15" hidden="1">
      <c r="C184" s="7" t="s">
        <v>146</v>
      </c>
      <c r="D184" s="8"/>
      <c r="E184" s="8"/>
      <c r="F184" s="8"/>
      <c r="G184" s="9" t="e">
        <f t="shared" si="59"/>
        <v>#DIV/0!</v>
      </c>
      <c r="H184" s="10">
        <f t="shared" si="60"/>
        <v>0</v>
      </c>
      <c r="I184" s="8">
        <f t="shared" si="61"/>
        <v>0</v>
      </c>
      <c r="J184" s="11" t="e">
        <f t="shared" si="62"/>
        <v>#DIV/0!</v>
      </c>
    </row>
    <row r="185" spans="3:15" hidden="1">
      <c r="C185" s="7" t="s">
        <v>147</v>
      </c>
      <c r="D185" s="8"/>
      <c r="E185" s="8"/>
      <c r="F185" s="8"/>
      <c r="G185" s="9" t="e">
        <f t="shared" si="59"/>
        <v>#DIV/0!</v>
      </c>
      <c r="H185" s="10">
        <f t="shared" si="60"/>
        <v>0</v>
      </c>
      <c r="I185" s="8">
        <f t="shared" si="61"/>
        <v>0</v>
      </c>
      <c r="J185" s="11" t="e">
        <f t="shared" si="62"/>
        <v>#DIV/0!</v>
      </c>
    </row>
    <row r="186" spans="3:15" hidden="1">
      <c r="C186" s="92" t="s">
        <v>149</v>
      </c>
      <c r="D186" s="62"/>
      <c r="E186" s="8"/>
      <c r="F186" s="8"/>
      <c r="G186" s="9" t="e">
        <f t="shared" si="59"/>
        <v>#DIV/0!</v>
      </c>
      <c r="H186" s="10">
        <f t="shared" si="60"/>
        <v>0</v>
      </c>
      <c r="I186" s="8">
        <f t="shared" si="61"/>
        <v>0</v>
      </c>
      <c r="J186" s="11" t="e">
        <f t="shared" si="62"/>
        <v>#DIV/0!</v>
      </c>
    </row>
    <row r="187" spans="3:15" ht="15.75" hidden="1" thickBot="1">
      <c r="C187" s="13" t="s">
        <v>148</v>
      </c>
      <c r="D187" s="14"/>
      <c r="E187" s="14"/>
      <c r="F187" s="14"/>
      <c r="G187" s="50" t="e">
        <f>AVERAGE(D187:F187)</f>
        <v>#DIV/0!</v>
      </c>
      <c r="H187" s="16">
        <f t="shared" si="60"/>
        <v>0</v>
      </c>
      <c r="I187" s="14">
        <f t="shared" si="61"/>
        <v>0</v>
      </c>
      <c r="J187" s="17" t="e">
        <f t="shared" si="62"/>
        <v>#DIV/0!</v>
      </c>
    </row>
    <row r="188" spans="3:15" ht="15.75" hidden="1" thickBot="1"/>
    <row r="189" spans="3:15" ht="15.75" hidden="1" thickBot="1">
      <c r="C189" s="3" t="s">
        <v>53</v>
      </c>
      <c r="D189" s="281"/>
      <c r="E189" s="282"/>
      <c r="F189" s="282"/>
      <c r="G189" s="282"/>
      <c r="H189" s="282"/>
      <c r="I189" s="282"/>
      <c r="J189" s="283"/>
      <c r="O189" s="74"/>
    </row>
    <row r="190" spans="3:15" hidden="1">
      <c r="C190" s="4" t="s">
        <v>4</v>
      </c>
      <c r="D190" s="278"/>
      <c r="E190" s="279"/>
      <c r="F190" s="279"/>
      <c r="G190" s="279"/>
      <c r="H190" s="279"/>
      <c r="I190" s="279"/>
      <c r="J190" s="280"/>
    </row>
    <row r="191" spans="3:15" hidden="1">
      <c r="C191" s="4" t="s">
        <v>5</v>
      </c>
      <c r="D191" s="5"/>
      <c r="E191" s="5"/>
      <c r="F191" s="5"/>
      <c r="G191" s="5" t="s">
        <v>9</v>
      </c>
      <c r="H191" s="5" t="s">
        <v>10</v>
      </c>
      <c r="I191" s="5" t="s">
        <v>11</v>
      </c>
      <c r="J191" s="6" t="s">
        <v>12</v>
      </c>
    </row>
    <row r="192" spans="3:15" s="90" customFormat="1" hidden="1">
      <c r="C192" s="27" t="s">
        <v>45</v>
      </c>
      <c r="D192" s="86"/>
      <c r="E192" s="86"/>
      <c r="F192" s="86"/>
      <c r="G192" s="87" t="e">
        <f>AVERAGE(D192:F192)</f>
        <v>#DIV/0!</v>
      </c>
      <c r="H192" s="88">
        <f>MAX(D192:F192)</f>
        <v>0</v>
      </c>
      <c r="I192" s="86">
        <f>MIN(D192:F192)</f>
        <v>0</v>
      </c>
      <c r="J192" s="89" t="e">
        <f>_xlfn.STDEV.P(D192:F192)</f>
        <v>#DIV/0!</v>
      </c>
    </row>
    <row r="193" spans="3:17" hidden="1">
      <c r="C193" s="7" t="s">
        <v>46</v>
      </c>
      <c r="D193" s="8"/>
      <c r="E193" s="8"/>
      <c r="F193" s="8"/>
      <c r="G193" s="9" t="e">
        <f t="shared" ref="G193:G198" si="63">AVERAGE(D193:F193)</f>
        <v>#DIV/0!</v>
      </c>
      <c r="H193" s="10">
        <f t="shared" ref="H193:H199" si="64">MAX(D193:F193)</f>
        <v>0</v>
      </c>
      <c r="I193" s="8">
        <f t="shared" ref="I193:I199" si="65">MIN(D193:F193)</f>
        <v>0</v>
      </c>
      <c r="J193" s="11" t="e">
        <f t="shared" ref="J193:J199" si="66">_xlfn.STDEV.P(D193:F193)</f>
        <v>#DIV/0!</v>
      </c>
    </row>
    <row r="194" spans="3:17" hidden="1">
      <c r="C194" s="7" t="s">
        <v>64</v>
      </c>
      <c r="D194" s="8"/>
      <c r="E194" s="8"/>
      <c r="F194" s="8"/>
      <c r="G194" s="9" t="e">
        <f t="shared" si="63"/>
        <v>#DIV/0!</v>
      </c>
      <c r="H194" s="10">
        <f t="shared" si="64"/>
        <v>0</v>
      </c>
      <c r="I194" s="8">
        <f t="shared" si="65"/>
        <v>0</v>
      </c>
      <c r="J194" s="11" t="e">
        <f t="shared" si="66"/>
        <v>#DIV/0!</v>
      </c>
    </row>
    <row r="195" spans="3:17" hidden="1">
      <c r="C195" s="7" t="s">
        <v>63</v>
      </c>
      <c r="D195" s="8"/>
      <c r="E195" s="8"/>
      <c r="F195" s="8"/>
      <c r="G195" s="9" t="e">
        <f t="shared" si="63"/>
        <v>#DIV/0!</v>
      </c>
      <c r="H195" s="10">
        <f t="shared" si="64"/>
        <v>0</v>
      </c>
      <c r="I195" s="8">
        <f t="shared" si="65"/>
        <v>0</v>
      </c>
      <c r="J195" s="11" t="e">
        <f t="shared" si="66"/>
        <v>#DIV/0!</v>
      </c>
    </row>
    <row r="196" spans="3:17" hidden="1">
      <c r="C196" s="7" t="s">
        <v>146</v>
      </c>
      <c r="D196" s="8"/>
      <c r="E196" s="8"/>
      <c r="F196" s="8"/>
      <c r="G196" s="9" t="e">
        <f t="shared" si="63"/>
        <v>#DIV/0!</v>
      </c>
      <c r="H196" s="10">
        <f t="shared" si="64"/>
        <v>0</v>
      </c>
      <c r="I196" s="8">
        <f t="shared" si="65"/>
        <v>0</v>
      </c>
      <c r="J196" s="11" t="e">
        <f t="shared" si="66"/>
        <v>#DIV/0!</v>
      </c>
    </row>
    <row r="197" spans="3:17" hidden="1">
      <c r="C197" s="7" t="s">
        <v>147</v>
      </c>
      <c r="D197" s="8"/>
      <c r="E197" s="8"/>
      <c r="F197" s="8"/>
      <c r="G197" s="9" t="e">
        <f t="shared" si="63"/>
        <v>#DIV/0!</v>
      </c>
      <c r="H197" s="10">
        <f t="shared" si="64"/>
        <v>0</v>
      </c>
      <c r="I197" s="8">
        <f t="shared" si="65"/>
        <v>0</v>
      </c>
      <c r="J197" s="11" t="e">
        <f t="shared" si="66"/>
        <v>#DIV/0!</v>
      </c>
    </row>
    <row r="198" spans="3:17" hidden="1">
      <c r="C198" s="92" t="s">
        <v>149</v>
      </c>
      <c r="D198" s="62"/>
      <c r="E198" s="8"/>
      <c r="F198" s="8"/>
      <c r="G198" s="9" t="e">
        <f t="shared" si="63"/>
        <v>#DIV/0!</v>
      </c>
      <c r="H198" s="10">
        <f t="shared" si="64"/>
        <v>0</v>
      </c>
      <c r="I198" s="8">
        <f t="shared" si="65"/>
        <v>0</v>
      </c>
      <c r="J198" s="11" t="e">
        <f t="shared" si="66"/>
        <v>#DIV/0!</v>
      </c>
    </row>
    <row r="199" spans="3:17" ht="15.75" hidden="1" thickBot="1">
      <c r="C199" s="13" t="s">
        <v>148</v>
      </c>
      <c r="D199" s="14"/>
      <c r="E199" s="14"/>
      <c r="F199" s="14"/>
      <c r="G199" s="50" t="e">
        <f>AVERAGE(D199:F199)</f>
        <v>#DIV/0!</v>
      </c>
      <c r="H199" s="16">
        <f t="shared" si="64"/>
        <v>0</v>
      </c>
      <c r="I199" s="14">
        <f t="shared" si="65"/>
        <v>0</v>
      </c>
      <c r="J199" s="17" t="e">
        <f t="shared" si="66"/>
        <v>#DIV/0!</v>
      </c>
    </row>
    <row r="200" spans="3:17" hidden="1"/>
    <row r="201" spans="3:17" hidden="1"/>
    <row r="202" spans="3:17" hidden="1"/>
    <row r="203" spans="3:17" ht="15.75" hidden="1" thickBot="1"/>
    <row r="204" spans="3:17" ht="15.75" hidden="1" thickBot="1">
      <c r="C204" s="3" t="s">
        <v>113</v>
      </c>
      <c r="D204" s="281"/>
      <c r="E204" s="282"/>
      <c r="F204" s="282"/>
      <c r="G204" s="282"/>
      <c r="H204" s="282"/>
      <c r="I204" s="282"/>
      <c r="J204" s="283"/>
      <c r="O204" s="74">
        <v>471.27671900000001</v>
      </c>
      <c r="Q204" t="s">
        <v>142</v>
      </c>
    </row>
    <row r="205" spans="3:17" hidden="1">
      <c r="C205" s="4" t="s">
        <v>4</v>
      </c>
      <c r="D205" s="278"/>
      <c r="E205" s="279"/>
      <c r="F205" s="279"/>
      <c r="G205" s="279"/>
      <c r="H205" s="279"/>
      <c r="I205" s="279"/>
      <c r="J205" s="280"/>
    </row>
    <row r="206" spans="3:17" hidden="1">
      <c r="C206" s="4" t="s">
        <v>5</v>
      </c>
      <c r="D206" s="5" t="s">
        <v>6</v>
      </c>
      <c r="E206" s="5" t="s">
        <v>7</v>
      </c>
      <c r="F206" s="5" t="s">
        <v>8</v>
      </c>
      <c r="G206" s="5" t="s">
        <v>9</v>
      </c>
      <c r="H206" s="5" t="s">
        <v>10</v>
      </c>
      <c r="I206" s="5" t="s">
        <v>11</v>
      </c>
      <c r="J206" s="6" t="s">
        <v>12</v>
      </c>
    </row>
    <row r="207" spans="3:17" s="90" customFormat="1" hidden="1">
      <c r="C207" s="85" t="s">
        <v>45</v>
      </c>
      <c r="D207" s="86">
        <v>3429.6950000000002</v>
      </c>
      <c r="E207" s="86">
        <v>3428.3609999999999</v>
      </c>
      <c r="F207" s="86">
        <v>3432.643</v>
      </c>
      <c r="G207" s="87">
        <f>AVERAGE(D207:F207)</f>
        <v>3430.2330000000002</v>
      </c>
      <c r="H207" s="88">
        <f>MAX(D207:F207)</f>
        <v>3432.643</v>
      </c>
      <c r="I207" s="86">
        <f>MIN(D207:F207)</f>
        <v>3428.3609999999999</v>
      </c>
      <c r="J207" s="89">
        <f>_xlfn.STDEV.P(D207:F207)</f>
        <v>1.7890340037760069</v>
      </c>
    </row>
    <row r="208" spans="3:17" hidden="1">
      <c r="C208" s="7" t="s">
        <v>46</v>
      </c>
      <c r="D208" s="8">
        <v>2624.6379999999999</v>
      </c>
      <c r="E208" s="8">
        <v>2622.3389999999999</v>
      </c>
      <c r="F208" s="8">
        <v>2619.5650000000001</v>
      </c>
      <c r="G208" s="9">
        <f t="shared" ref="G208:G213" si="67">AVERAGE(D208:F208)</f>
        <v>2622.1806666666666</v>
      </c>
      <c r="H208" s="10">
        <f t="shared" ref="H208:H214" si="68">MAX(D208:F208)</f>
        <v>2624.6379999999999</v>
      </c>
      <c r="I208" s="8">
        <f t="shared" ref="I208:I214" si="69">MIN(D208:F208)</f>
        <v>2619.5650000000001</v>
      </c>
      <c r="J208" s="11">
        <f t="shared" ref="J208:J214" si="70">_xlfn.STDEV.P(D208:F208)</f>
        <v>2.0740675548838783</v>
      </c>
    </row>
    <row r="209" spans="3:17" hidden="1">
      <c r="C209" s="7" t="s">
        <v>107</v>
      </c>
      <c r="D209" s="8">
        <v>152164.29999999999</v>
      </c>
      <c r="E209" s="8">
        <v>150278.79999999999</v>
      </c>
      <c r="F209" s="8">
        <v>152594</v>
      </c>
      <c r="G209" s="9">
        <f t="shared" si="67"/>
        <v>151679.03333333333</v>
      </c>
      <c r="H209" s="10">
        <f t="shared" si="68"/>
        <v>152594</v>
      </c>
      <c r="I209" s="8">
        <f t="shared" si="69"/>
        <v>150278.79999999999</v>
      </c>
      <c r="J209" s="11">
        <f t="shared" si="70"/>
        <v>1005.5348703827048</v>
      </c>
    </row>
    <row r="210" spans="3:17" hidden="1">
      <c r="C210" s="7" t="s">
        <v>109</v>
      </c>
      <c r="D210" s="8"/>
      <c r="E210" s="8"/>
      <c r="F210" s="8"/>
      <c r="G210" s="9" t="e">
        <f t="shared" si="67"/>
        <v>#DIV/0!</v>
      </c>
      <c r="H210" s="10">
        <f t="shared" si="68"/>
        <v>0</v>
      </c>
      <c r="I210" s="8">
        <f t="shared" si="69"/>
        <v>0</v>
      </c>
      <c r="J210" s="11" t="e">
        <f t="shared" si="70"/>
        <v>#DIV/0!</v>
      </c>
    </row>
    <row r="211" spans="3:17" hidden="1">
      <c r="C211" s="7" t="s">
        <v>146</v>
      </c>
      <c r="D211" s="8"/>
      <c r="E211" s="8"/>
      <c r="F211" s="8"/>
      <c r="G211" s="9" t="e">
        <f t="shared" si="67"/>
        <v>#DIV/0!</v>
      </c>
      <c r="H211" s="10">
        <f t="shared" si="68"/>
        <v>0</v>
      </c>
      <c r="I211" s="8">
        <f t="shared" si="69"/>
        <v>0</v>
      </c>
      <c r="J211" s="11" t="e">
        <f t="shared" si="70"/>
        <v>#DIV/0!</v>
      </c>
    </row>
    <row r="212" spans="3:17" hidden="1">
      <c r="C212" s="7" t="s">
        <v>147</v>
      </c>
      <c r="D212" s="8"/>
      <c r="E212" s="8"/>
      <c r="F212" s="8"/>
      <c r="G212" s="9" t="e">
        <f t="shared" si="67"/>
        <v>#DIV/0!</v>
      </c>
      <c r="H212" s="10">
        <f t="shared" si="68"/>
        <v>0</v>
      </c>
      <c r="I212" s="8">
        <f t="shared" si="69"/>
        <v>0</v>
      </c>
      <c r="J212" s="11" t="e">
        <f t="shared" si="70"/>
        <v>#DIV/0!</v>
      </c>
    </row>
    <row r="213" spans="3:17" hidden="1">
      <c r="C213" s="92" t="s">
        <v>149</v>
      </c>
      <c r="D213" s="62"/>
      <c r="E213" s="8"/>
      <c r="F213" s="8"/>
      <c r="G213" s="9" t="e">
        <f t="shared" si="67"/>
        <v>#DIV/0!</v>
      </c>
      <c r="H213" s="10">
        <f t="shared" si="68"/>
        <v>0</v>
      </c>
      <c r="I213" s="8">
        <f t="shared" si="69"/>
        <v>0</v>
      </c>
      <c r="J213" s="11" t="e">
        <f t="shared" si="70"/>
        <v>#DIV/0!</v>
      </c>
    </row>
    <row r="214" spans="3:17" ht="15.75" hidden="1" thickBot="1">
      <c r="C214" s="13" t="s">
        <v>148</v>
      </c>
      <c r="D214" s="14"/>
      <c r="E214" s="14"/>
      <c r="F214" s="14"/>
      <c r="G214" s="50" t="e">
        <f>AVERAGE(D214:F214)</f>
        <v>#DIV/0!</v>
      </c>
      <c r="H214" s="16">
        <f t="shared" si="68"/>
        <v>0</v>
      </c>
      <c r="I214" s="14">
        <f t="shared" si="69"/>
        <v>0</v>
      </c>
      <c r="J214" s="17" t="e">
        <f t="shared" si="70"/>
        <v>#DIV/0!</v>
      </c>
    </row>
    <row r="215" spans="3:17" ht="15.75" hidden="1" thickBot="1"/>
    <row r="216" spans="3:17" ht="15.75" hidden="1" thickBot="1">
      <c r="C216" s="3" t="s">
        <v>113</v>
      </c>
      <c r="D216" s="281"/>
      <c r="E216" s="282"/>
      <c r="F216" s="282"/>
      <c r="G216" s="282"/>
      <c r="H216" s="282"/>
      <c r="I216" s="282"/>
      <c r="J216" s="283"/>
      <c r="O216" s="74">
        <v>458.50884000000002</v>
      </c>
      <c r="Q216" t="s">
        <v>143</v>
      </c>
    </row>
    <row r="217" spans="3:17" hidden="1">
      <c r="C217" s="4" t="s">
        <v>4</v>
      </c>
      <c r="D217" s="278"/>
      <c r="E217" s="279"/>
      <c r="F217" s="279"/>
      <c r="G217" s="279"/>
      <c r="H217" s="279"/>
      <c r="I217" s="279"/>
      <c r="J217" s="280"/>
    </row>
    <row r="218" spans="3:17" hidden="1">
      <c r="C218" s="4" t="s">
        <v>5</v>
      </c>
      <c r="D218" s="5">
        <v>80359.899999999994</v>
      </c>
      <c r="E218" s="5" t="s">
        <v>7</v>
      </c>
      <c r="F218" s="5" t="s">
        <v>8</v>
      </c>
      <c r="G218" s="5" t="s">
        <v>9</v>
      </c>
      <c r="H218" s="5" t="s">
        <v>10</v>
      </c>
      <c r="I218" s="5" t="s">
        <v>11</v>
      </c>
      <c r="J218" s="6" t="s">
        <v>12</v>
      </c>
    </row>
    <row r="219" spans="3:17" s="90" customFormat="1" hidden="1">
      <c r="C219" s="85" t="s">
        <v>45</v>
      </c>
      <c r="D219" s="86">
        <v>537.41600000000005</v>
      </c>
      <c r="E219" s="86">
        <v>562.29200000000003</v>
      </c>
      <c r="F219" s="86">
        <v>561.41600000000005</v>
      </c>
      <c r="G219" s="87">
        <f>AVERAGE(D219:F219)</f>
        <v>553.70800000000008</v>
      </c>
      <c r="H219" s="88">
        <f>MAX(D219:F219)</f>
        <v>562.29200000000003</v>
      </c>
      <c r="I219" s="86">
        <f>MIN(D219:F219)</f>
        <v>537.41600000000005</v>
      </c>
      <c r="J219" s="89">
        <f>_xlfn.STDEV.P(D219:F219)</f>
        <v>11.525733295543493</v>
      </c>
    </row>
    <row r="220" spans="3:17" hidden="1">
      <c r="C220" s="7" t="s">
        <v>46</v>
      </c>
      <c r="D220" s="8">
        <v>469.55099999999999</v>
      </c>
      <c r="E220" s="8">
        <v>501.363</v>
      </c>
      <c r="F220" s="8">
        <v>534.06200000000001</v>
      </c>
      <c r="G220" s="9">
        <f t="shared" ref="G220:G225" si="71">AVERAGE(D220:F220)</f>
        <v>501.6586666666667</v>
      </c>
      <c r="H220" s="10">
        <f t="shared" ref="H220:H226" si="72">MAX(D220:F220)</f>
        <v>534.06200000000001</v>
      </c>
      <c r="I220" s="8">
        <f t="shared" ref="I220:I226" si="73">MIN(D220:F220)</f>
        <v>469.55099999999999</v>
      </c>
      <c r="J220" s="11">
        <f t="shared" ref="J220:J226" si="74">_xlfn.STDEV.P(D220:F220)</f>
        <v>26.337335278185531</v>
      </c>
    </row>
    <row r="221" spans="3:17" hidden="1">
      <c r="C221" s="7" t="s">
        <v>112</v>
      </c>
      <c r="D221" s="8">
        <v>10827.1</v>
      </c>
      <c r="E221" s="8">
        <v>97588.9</v>
      </c>
      <c r="F221" s="8">
        <v>99156.5</v>
      </c>
      <c r="G221" s="9">
        <f t="shared" si="71"/>
        <v>69190.833333333328</v>
      </c>
      <c r="H221" s="10">
        <f t="shared" si="72"/>
        <v>99156.5</v>
      </c>
      <c r="I221" s="8">
        <f t="shared" si="73"/>
        <v>10827.1</v>
      </c>
      <c r="J221" s="11">
        <f t="shared" si="74"/>
        <v>41274.353367786258</v>
      </c>
    </row>
    <row r="222" spans="3:17" hidden="1">
      <c r="C222" s="7" t="s">
        <v>109</v>
      </c>
      <c r="D222" s="8"/>
      <c r="E222" s="8"/>
      <c r="F222" s="8"/>
      <c r="G222" s="9" t="e">
        <f t="shared" si="71"/>
        <v>#DIV/0!</v>
      </c>
      <c r="H222" s="10">
        <f t="shared" si="72"/>
        <v>0</v>
      </c>
      <c r="I222" s="8">
        <f t="shared" si="73"/>
        <v>0</v>
      </c>
      <c r="J222" s="11" t="e">
        <f t="shared" si="74"/>
        <v>#DIV/0!</v>
      </c>
    </row>
    <row r="223" spans="3:17" hidden="1">
      <c r="C223" s="7" t="s">
        <v>146</v>
      </c>
      <c r="D223" s="8"/>
      <c r="E223" s="8"/>
      <c r="F223" s="8"/>
      <c r="G223" s="9" t="e">
        <f t="shared" si="71"/>
        <v>#DIV/0!</v>
      </c>
      <c r="H223" s="10">
        <f t="shared" si="72"/>
        <v>0</v>
      </c>
      <c r="I223" s="8">
        <f t="shared" si="73"/>
        <v>0</v>
      </c>
      <c r="J223" s="11" t="e">
        <f t="shared" si="74"/>
        <v>#DIV/0!</v>
      </c>
    </row>
    <row r="224" spans="3:17" hidden="1">
      <c r="C224" s="7" t="s">
        <v>147</v>
      </c>
      <c r="D224" s="8"/>
      <c r="E224" s="8"/>
      <c r="F224" s="8"/>
      <c r="G224" s="9" t="e">
        <f t="shared" si="71"/>
        <v>#DIV/0!</v>
      </c>
      <c r="H224" s="10">
        <f t="shared" si="72"/>
        <v>0</v>
      </c>
      <c r="I224" s="8">
        <f t="shared" si="73"/>
        <v>0</v>
      </c>
      <c r="J224" s="11" t="e">
        <f t="shared" si="74"/>
        <v>#DIV/0!</v>
      </c>
    </row>
    <row r="225" spans="3:15" hidden="1">
      <c r="C225" s="92" t="s">
        <v>149</v>
      </c>
      <c r="D225" s="62"/>
      <c r="E225" s="8"/>
      <c r="F225" s="8"/>
      <c r="G225" s="9" t="e">
        <f t="shared" si="71"/>
        <v>#DIV/0!</v>
      </c>
      <c r="H225" s="10">
        <f t="shared" si="72"/>
        <v>0</v>
      </c>
      <c r="I225" s="8">
        <f t="shared" si="73"/>
        <v>0</v>
      </c>
      <c r="J225" s="11" t="e">
        <f t="shared" si="74"/>
        <v>#DIV/0!</v>
      </c>
    </row>
    <row r="226" spans="3:15" ht="15.75" hidden="1" thickBot="1">
      <c r="C226" s="13" t="s">
        <v>148</v>
      </c>
      <c r="D226" s="14"/>
      <c r="E226" s="14"/>
      <c r="F226" s="14"/>
      <c r="G226" s="50" t="e">
        <f>AVERAGE(D226:F226)</f>
        <v>#DIV/0!</v>
      </c>
      <c r="H226" s="16">
        <f t="shared" si="72"/>
        <v>0</v>
      </c>
      <c r="I226" s="14">
        <f t="shared" si="73"/>
        <v>0</v>
      </c>
      <c r="J226" s="17" t="e">
        <f t="shared" si="74"/>
        <v>#DIV/0!</v>
      </c>
    </row>
    <row r="227" spans="3:15" ht="15.75" hidden="1" thickBot="1"/>
    <row r="228" spans="3:15" ht="15.75" hidden="1" thickBot="1">
      <c r="C228" s="3" t="s">
        <v>53</v>
      </c>
      <c r="D228" s="281"/>
      <c r="E228" s="282"/>
      <c r="F228" s="282"/>
      <c r="G228" s="282"/>
      <c r="H228" s="282"/>
      <c r="I228" s="282"/>
      <c r="J228" s="283"/>
      <c r="O228" s="74"/>
    </row>
    <row r="229" spans="3:15" hidden="1">
      <c r="C229" s="4" t="s">
        <v>4</v>
      </c>
      <c r="D229" s="278"/>
      <c r="E229" s="279"/>
      <c r="F229" s="279"/>
      <c r="G229" s="279"/>
      <c r="H229" s="279"/>
      <c r="I229" s="279"/>
      <c r="J229" s="280"/>
    </row>
    <row r="230" spans="3:15" hidden="1">
      <c r="C230" s="4" t="s">
        <v>5</v>
      </c>
      <c r="D230" s="5">
        <v>33892.300000000003</v>
      </c>
      <c r="E230" s="5" t="s">
        <v>7</v>
      </c>
      <c r="F230" s="5" t="s">
        <v>8</v>
      </c>
      <c r="G230" s="5" t="s">
        <v>9</v>
      </c>
      <c r="H230" s="5" t="s">
        <v>10</v>
      </c>
      <c r="I230" s="5" t="s">
        <v>11</v>
      </c>
      <c r="J230" s="6" t="s">
        <v>12</v>
      </c>
    </row>
    <row r="231" spans="3:15" hidden="1">
      <c r="C231" s="7" t="s">
        <v>45</v>
      </c>
      <c r="D231" s="8"/>
      <c r="E231" s="8"/>
      <c r="F231" s="8"/>
      <c r="G231" s="9" t="e">
        <f>AVERAGE(D231:F231)</f>
        <v>#DIV/0!</v>
      </c>
      <c r="H231" s="10">
        <f>MAX(D231:F231)</f>
        <v>0</v>
      </c>
      <c r="I231" s="8">
        <f>MIN(D231:F231)</f>
        <v>0</v>
      </c>
      <c r="J231" s="11" t="e">
        <f>_xlfn.STDEV.P(D231:F231)</f>
        <v>#DIV/0!</v>
      </c>
    </row>
    <row r="232" spans="3:15" hidden="1">
      <c r="C232" s="7" t="s">
        <v>46</v>
      </c>
      <c r="D232" s="8"/>
      <c r="E232" s="8"/>
      <c r="F232" s="8"/>
      <c r="G232" s="9" t="e">
        <f t="shared" ref="G232:G237" si="75">AVERAGE(D232:F232)</f>
        <v>#DIV/0!</v>
      </c>
      <c r="H232" s="10">
        <f t="shared" ref="H232:H238" si="76">MAX(D232:F232)</f>
        <v>0</v>
      </c>
      <c r="I232" s="8">
        <f t="shared" ref="I232:I238" si="77">MIN(D232:F232)</f>
        <v>0</v>
      </c>
      <c r="J232" s="11" t="e">
        <f t="shared" ref="J232:J238" si="78">_xlfn.STDEV.P(D232:F232)</f>
        <v>#DIV/0!</v>
      </c>
    </row>
    <row r="233" spans="3:15" hidden="1">
      <c r="C233" s="7" t="s">
        <v>64</v>
      </c>
      <c r="D233" s="8"/>
      <c r="E233" s="8"/>
      <c r="F233" s="8"/>
      <c r="G233" s="9" t="e">
        <f t="shared" si="75"/>
        <v>#DIV/0!</v>
      </c>
      <c r="H233" s="10">
        <f t="shared" si="76"/>
        <v>0</v>
      </c>
      <c r="I233" s="8">
        <f t="shared" si="77"/>
        <v>0</v>
      </c>
      <c r="J233" s="11" t="e">
        <f t="shared" si="78"/>
        <v>#DIV/0!</v>
      </c>
    </row>
    <row r="234" spans="3:15" hidden="1">
      <c r="C234" s="7" t="s">
        <v>63</v>
      </c>
      <c r="D234" s="8"/>
      <c r="E234" s="8"/>
      <c r="F234" s="8"/>
      <c r="G234" s="9" t="e">
        <f t="shared" si="75"/>
        <v>#DIV/0!</v>
      </c>
      <c r="H234" s="10">
        <f t="shared" si="76"/>
        <v>0</v>
      </c>
      <c r="I234" s="8">
        <f t="shared" si="77"/>
        <v>0</v>
      </c>
      <c r="J234" s="11" t="e">
        <f t="shared" si="78"/>
        <v>#DIV/0!</v>
      </c>
    </row>
    <row r="235" spans="3:15" hidden="1">
      <c r="C235" s="7" t="s">
        <v>49</v>
      </c>
      <c r="D235" s="8"/>
      <c r="E235" s="8"/>
      <c r="F235" s="8"/>
      <c r="G235" s="9" t="e">
        <f t="shared" si="75"/>
        <v>#DIV/0!</v>
      </c>
      <c r="H235" s="10">
        <f t="shared" si="76"/>
        <v>0</v>
      </c>
      <c r="I235" s="8">
        <f t="shared" si="77"/>
        <v>0</v>
      </c>
      <c r="J235" s="11" t="e">
        <f t="shared" si="78"/>
        <v>#DIV/0!</v>
      </c>
    </row>
    <row r="236" spans="3:15" hidden="1">
      <c r="C236" s="7" t="s">
        <v>50</v>
      </c>
      <c r="D236" s="8"/>
      <c r="E236" s="8"/>
      <c r="F236" s="8"/>
      <c r="G236" s="9" t="e">
        <f t="shared" si="75"/>
        <v>#DIV/0!</v>
      </c>
      <c r="H236" s="10">
        <f t="shared" si="76"/>
        <v>0</v>
      </c>
      <c r="I236" s="8">
        <f t="shared" si="77"/>
        <v>0</v>
      </c>
      <c r="J236" s="11" t="e">
        <f t="shared" si="78"/>
        <v>#DIV/0!</v>
      </c>
    </row>
    <row r="237" spans="3:15" hidden="1">
      <c r="C237" s="7" t="s">
        <v>65</v>
      </c>
      <c r="D237" s="62"/>
      <c r="E237" s="8"/>
      <c r="F237" s="8"/>
      <c r="G237" s="9" t="e">
        <f t="shared" si="75"/>
        <v>#DIV/0!</v>
      </c>
      <c r="H237" s="10">
        <f t="shared" si="76"/>
        <v>0</v>
      </c>
      <c r="I237" s="8">
        <f t="shared" si="77"/>
        <v>0</v>
      </c>
      <c r="J237" s="11" t="e">
        <f t="shared" si="78"/>
        <v>#DIV/0!</v>
      </c>
    </row>
    <row r="238" spans="3:15" ht="15.75" hidden="1" thickBot="1">
      <c r="C238" s="13" t="s">
        <v>66</v>
      </c>
      <c r="D238" s="14"/>
      <c r="E238" s="14"/>
      <c r="F238" s="14"/>
      <c r="G238" s="50" t="e">
        <f>AVERAGE(D238:F238)</f>
        <v>#DIV/0!</v>
      </c>
      <c r="H238" s="16">
        <f t="shared" si="76"/>
        <v>0</v>
      </c>
      <c r="I238" s="14">
        <f t="shared" si="77"/>
        <v>0</v>
      </c>
      <c r="J238" s="17" t="e">
        <f t="shared" si="78"/>
        <v>#DIV/0!</v>
      </c>
    </row>
    <row r="239" spans="3:15" ht="15.75" hidden="1" thickBot="1"/>
    <row r="240" spans="3:15" ht="15.75" hidden="1" thickBot="1">
      <c r="C240" s="3" t="s">
        <v>53</v>
      </c>
      <c r="D240" s="281"/>
      <c r="E240" s="282"/>
      <c r="F240" s="282"/>
      <c r="G240" s="282"/>
      <c r="H240" s="282"/>
      <c r="I240" s="282"/>
      <c r="J240" s="283"/>
      <c r="O240" s="74"/>
    </row>
    <row r="241" spans="3:10" hidden="1">
      <c r="C241" s="4" t="s">
        <v>4</v>
      </c>
      <c r="D241" s="278"/>
      <c r="E241" s="279"/>
      <c r="F241" s="279"/>
      <c r="G241" s="279"/>
      <c r="H241" s="279"/>
      <c r="I241" s="279"/>
      <c r="J241" s="280"/>
    </row>
    <row r="242" spans="3:10" hidden="1">
      <c r="C242" s="4" t="s">
        <v>5</v>
      </c>
      <c r="D242" s="5" t="s">
        <v>6</v>
      </c>
      <c r="E242" s="5" t="s">
        <v>7</v>
      </c>
      <c r="F242" s="5" t="s">
        <v>8</v>
      </c>
      <c r="G242" s="5" t="s">
        <v>9</v>
      </c>
      <c r="H242" s="5" t="s">
        <v>10</v>
      </c>
      <c r="I242" s="5" t="s">
        <v>11</v>
      </c>
      <c r="J242" s="6" t="s">
        <v>12</v>
      </c>
    </row>
    <row r="243" spans="3:10" hidden="1">
      <c r="C243" s="7" t="s">
        <v>45</v>
      </c>
      <c r="D243" s="8"/>
      <c r="E243" s="8"/>
      <c r="F243" s="8"/>
      <c r="G243" s="9" t="e">
        <f>AVERAGE(D243:F243)</f>
        <v>#DIV/0!</v>
      </c>
      <c r="H243" s="10">
        <f>MAX(D243:F243)</f>
        <v>0</v>
      </c>
      <c r="I243" s="8">
        <f>MIN(D243:F243)</f>
        <v>0</v>
      </c>
      <c r="J243" s="11" t="e">
        <f>_xlfn.STDEV.P(D243:F243)</f>
        <v>#DIV/0!</v>
      </c>
    </row>
    <row r="244" spans="3:10" hidden="1">
      <c r="C244" s="7" t="s">
        <v>46</v>
      </c>
      <c r="D244" s="8"/>
      <c r="E244" s="8"/>
      <c r="F244" s="8"/>
      <c r="G244" s="9" t="e">
        <f t="shared" ref="G244:G249" si="79">AVERAGE(D244:F244)</f>
        <v>#DIV/0!</v>
      </c>
      <c r="H244" s="10">
        <f t="shared" ref="H244:H250" si="80">MAX(D244:F244)</f>
        <v>0</v>
      </c>
      <c r="I244" s="8">
        <f t="shared" ref="I244:I250" si="81">MIN(D244:F244)</f>
        <v>0</v>
      </c>
      <c r="J244" s="11" t="e">
        <f t="shared" ref="J244:J250" si="82">_xlfn.STDEV.P(D244:F244)</f>
        <v>#DIV/0!</v>
      </c>
    </row>
    <row r="245" spans="3:10" hidden="1">
      <c r="C245" s="7" t="s">
        <v>64</v>
      </c>
      <c r="D245" s="8"/>
      <c r="E245" s="8"/>
      <c r="F245" s="8"/>
      <c r="G245" s="9" t="e">
        <f t="shared" si="79"/>
        <v>#DIV/0!</v>
      </c>
      <c r="H245" s="10">
        <f t="shared" si="80"/>
        <v>0</v>
      </c>
      <c r="I245" s="8">
        <f t="shared" si="81"/>
        <v>0</v>
      </c>
      <c r="J245" s="11" t="e">
        <f t="shared" si="82"/>
        <v>#DIV/0!</v>
      </c>
    </row>
    <row r="246" spans="3:10" hidden="1">
      <c r="C246" s="7" t="s">
        <v>63</v>
      </c>
      <c r="D246" s="8"/>
      <c r="E246" s="8"/>
      <c r="F246" s="8"/>
      <c r="G246" s="9" t="e">
        <f t="shared" si="79"/>
        <v>#DIV/0!</v>
      </c>
      <c r="H246" s="10">
        <f t="shared" si="80"/>
        <v>0</v>
      </c>
      <c r="I246" s="8">
        <f t="shared" si="81"/>
        <v>0</v>
      </c>
      <c r="J246" s="11" t="e">
        <f t="shared" si="82"/>
        <v>#DIV/0!</v>
      </c>
    </row>
    <row r="247" spans="3:10" hidden="1">
      <c r="C247" s="7" t="s">
        <v>49</v>
      </c>
      <c r="D247" s="8"/>
      <c r="E247" s="8"/>
      <c r="F247" s="8"/>
      <c r="G247" s="9" t="e">
        <f t="shared" si="79"/>
        <v>#DIV/0!</v>
      </c>
      <c r="H247" s="10">
        <f t="shared" si="80"/>
        <v>0</v>
      </c>
      <c r="I247" s="8">
        <f t="shared" si="81"/>
        <v>0</v>
      </c>
      <c r="J247" s="11" t="e">
        <f t="shared" si="82"/>
        <v>#DIV/0!</v>
      </c>
    </row>
    <row r="248" spans="3:10" hidden="1">
      <c r="C248" s="7" t="s">
        <v>50</v>
      </c>
      <c r="D248" s="8"/>
      <c r="E248" s="8"/>
      <c r="F248" s="8"/>
      <c r="G248" s="9" t="e">
        <f t="shared" si="79"/>
        <v>#DIV/0!</v>
      </c>
      <c r="H248" s="10">
        <f t="shared" si="80"/>
        <v>0</v>
      </c>
      <c r="I248" s="8">
        <f t="shared" si="81"/>
        <v>0</v>
      </c>
      <c r="J248" s="11" t="e">
        <f t="shared" si="82"/>
        <v>#DIV/0!</v>
      </c>
    </row>
    <row r="249" spans="3:10" hidden="1">
      <c r="C249" s="7" t="s">
        <v>65</v>
      </c>
      <c r="D249" s="62"/>
      <c r="E249" s="8"/>
      <c r="F249" s="8"/>
      <c r="G249" s="9" t="e">
        <f t="shared" si="79"/>
        <v>#DIV/0!</v>
      </c>
      <c r="H249" s="10">
        <f t="shared" si="80"/>
        <v>0</v>
      </c>
      <c r="I249" s="8">
        <f t="shared" si="81"/>
        <v>0</v>
      </c>
      <c r="J249" s="11" t="e">
        <f t="shared" si="82"/>
        <v>#DIV/0!</v>
      </c>
    </row>
    <row r="250" spans="3:10" ht="15.75" hidden="1" thickBot="1">
      <c r="C250" s="13" t="s">
        <v>66</v>
      </c>
      <c r="D250" s="14"/>
      <c r="E250" s="14"/>
      <c r="F250" s="14"/>
      <c r="G250" s="50" t="e">
        <f>AVERAGE(D250:F250)</f>
        <v>#DIV/0!</v>
      </c>
      <c r="H250" s="16">
        <f t="shared" si="80"/>
        <v>0</v>
      </c>
      <c r="I250" s="14">
        <f t="shared" si="81"/>
        <v>0</v>
      </c>
      <c r="J250" s="17" t="e">
        <f t="shared" si="82"/>
        <v>#DIV/0!</v>
      </c>
    </row>
    <row r="251" spans="3:10" hidden="1"/>
  </sheetData>
  <mergeCells count="38">
    <mergeCell ref="D205:J205"/>
    <mergeCell ref="D216:J216"/>
    <mergeCell ref="D217:J217"/>
    <mergeCell ref="D177:J177"/>
    <mergeCell ref="D178:J178"/>
    <mergeCell ref="D189:J189"/>
    <mergeCell ref="D190:J190"/>
    <mergeCell ref="D63:J63"/>
    <mergeCell ref="D79:J79"/>
    <mergeCell ref="D80:J80"/>
    <mergeCell ref="D95:J95"/>
    <mergeCell ref="D96:J96"/>
    <mergeCell ref="D28:J28"/>
    <mergeCell ref="D39:J39"/>
    <mergeCell ref="D40:J40"/>
    <mergeCell ref="D51:J51"/>
    <mergeCell ref="D52:J52"/>
    <mergeCell ref="D3:J3"/>
    <mergeCell ref="D4:J4"/>
    <mergeCell ref="D15:J15"/>
    <mergeCell ref="D16:J16"/>
    <mergeCell ref="D27:J27"/>
    <mergeCell ref="D228:J228"/>
    <mergeCell ref="D229:J229"/>
    <mergeCell ref="D240:J240"/>
    <mergeCell ref="D241:J241"/>
    <mergeCell ref="D64:J64"/>
    <mergeCell ref="D128:J128"/>
    <mergeCell ref="D129:J129"/>
    <mergeCell ref="D140:J140"/>
    <mergeCell ref="D141:J141"/>
    <mergeCell ref="D153:J153"/>
    <mergeCell ref="D154:J154"/>
    <mergeCell ref="D165:J165"/>
    <mergeCell ref="D166:J166"/>
    <mergeCell ref="D204:J204"/>
    <mergeCell ref="D111:J111"/>
    <mergeCell ref="D112:J112"/>
  </mergeCells>
  <phoneticPr fontId="26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7"/>
  </sheetPr>
  <dimension ref="B1:Q237"/>
  <sheetViews>
    <sheetView topLeftCell="A88" zoomScale="90" zoomScaleNormal="90" workbookViewId="0">
      <selection activeCell="I114" sqref="I114:I125"/>
    </sheetView>
  </sheetViews>
  <sheetFormatPr defaultRowHeight="15"/>
  <cols>
    <col min="2" max="2" width="7.7109375" customWidth="1"/>
    <col min="3" max="3" width="36.7109375" bestFit="1" customWidth="1"/>
    <col min="4" max="10" width="11.42578125" bestFit="1" customWidth="1"/>
    <col min="15" max="15" width="23.140625" bestFit="1" customWidth="1"/>
    <col min="16" max="16" width="19.7109375" customWidth="1"/>
  </cols>
  <sheetData>
    <row r="1" spans="2:15" ht="23.25">
      <c r="C1" s="2" t="s">
        <v>22</v>
      </c>
      <c r="O1" s="2" t="s">
        <v>125</v>
      </c>
    </row>
    <row r="3" spans="2:15" ht="16.5" hidden="1" customHeight="1" thickBot="1">
      <c r="B3" s="93"/>
      <c r="C3" s="3" t="s">
        <v>150</v>
      </c>
      <c r="D3" s="281" t="s">
        <v>61</v>
      </c>
      <c r="E3" s="282"/>
      <c r="F3" s="282"/>
      <c r="G3" s="282"/>
      <c r="H3" s="282"/>
      <c r="I3" s="282"/>
      <c r="J3" s="283"/>
    </row>
    <row r="4" spans="2:15" ht="16.5" hidden="1" customHeight="1" thickBot="1">
      <c r="B4" s="93"/>
      <c r="C4" s="4" t="s">
        <v>4</v>
      </c>
      <c r="D4" s="278" t="e">
        <f>CONCATENATE(BICS6_Performance!#REF!,"_1GB")</f>
        <v>#REF!</v>
      </c>
      <c r="E4" s="279"/>
      <c r="F4" s="279"/>
      <c r="G4" s="279"/>
      <c r="H4" s="279"/>
      <c r="I4" s="279"/>
      <c r="J4" s="280"/>
      <c r="O4" s="74"/>
    </row>
    <row r="5" spans="2:15" ht="16.5" hidden="1" customHeight="1">
      <c r="B5" s="29"/>
      <c r="C5" s="4" t="s">
        <v>5</v>
      </c>
      <c r="D5" s="5" t="s">
        <v>6</v>
      </c>
      <c r="E5" s="5" t="s">
        <v>7</v>
      </c>
      <c r="F5" s="5" t="s">
        <v>8</v>
      </c>
      <c r="G5" s="5" t="s">
        <v>9</v>
      </c>
      <c r="H5" s="5" t="s">
        <v>10</v>
      </c>
      <c r="I5" s="5" t="s">
        <v>11</v>
      </c>
      <c r="J5" s="6" t="s">
        <v>12</v>
      </c>
    </row>
    <row r="6" spans="2:15" ht="16.5" hidden="1" customHeight="1">
      <c r="C6" s="27" t="s">
        <v>45</v>
      </c>
      <c r="D6" s="102"/>
      <c r="E6" s="102"/>
      <c r="F6" s="102"/>
      <c r="G6" s="96" t="e">
        <f>AVERAGE(D6:F6)</f>
        <v>#DIV/0!</v>
      </c>
      <c r="H6" s="96">
        <f>MAX(D6:F6)</f>
        <v>0</v>
      </c>
      <c r="I6" s="95">
        <f>MIN(D6:F6)</f>
        <v>0</v>
      </c>
      <c r="J6" s="97" t="e">
        <f>_xlfn.STDEV.P(D6:F6)</f>
        <v>#DIV/0!</v>
      </c>
    </row>
    <row r="7" spans="2:15" ht="16.5" hidden="1" customHeight="1">
      <c r="C7" s="7" t="s">
        <v>46</v>
      </c>
      <c r="D7" s="102"/>
      <c r="E7" s="102"/>
      <c r="F7" s="102"/>
      <c r="G7" s="96" t="e">
        <f t="shared" ref="G7:G13" si="0">AVERAGE(D7:F7)</f>
        <v>#DIV/0!</v>
      </c>
      <c r="H7" s="96">
        <f t="shared" ref="H7:H13" si="1">MAX(D7:F7)</f>
        <v>0</v>
      </c>
      <c r="I7" s="95">
        <f t="shared" ref="I7:I13" si="2">MIN(D7:F7)</f>
        <v>0</v>
      </c>
      <c r="J7" s="97" t="e">
        <f t="shared" ref="J7:J13" si="3">_xlfn.STDEV.P(D7:F7)</f>
        <v>#DIV/0!</v>
      </c>
    </row>
    <row r="8" spans="2:15" ht="16.5" hidden="1" customHeight="1">
      <c r="C8" s="7" t="s">
        <v>64</v>
      </c>
      <c r="D8" s="102"/>
      <c r="E8" s="102"/>
      <c r="F8" s="102"/>
      <c r="G8" s="96" t="e">
        <f t="shared" si="0"/>
        <v>#DIV/0!</v>
      </c>
      <c r="H8" s="96">
        <f t="shared" si="1"/>
        <v>0</v>
      </c>
      <c r="I8" s="95">
        <f t="shared" si="2"/>
        <v>0</v>
      </c>
      <c r="J8" s="97" t="e">
        <f t="shared" si="3"/>
        <v>#DIV/0!</v>
      </c>
    </row>
    <row r="9" spans="2:15" ht="16.5" hidden="1" customHeight="1">
      <c r="C9" s="7" t="s">
        <v>63</v>
      </c>
      <c r="D9" s="102"/>
      <c r="E9" s="102"/>
      <c r="F9" s="102"/>
      <c r="G9" s="96" t="e">
        <f t="shared" si="0"/>
        <v>#DIV/0!</v>
      </c>
      <c r="H9" s="96">
        <f t="shared" si="1"/>
        <v>0</v>
      </c>
      <c r="I9" s="95">
        <f t="shared" si="2"/>
        <v>0</v>
      </c>
      <c r="J9" s="97" t="e">
        <f t="shared" si="3"/>
        <v>#DIV/0!</v>
      </c>
    </row>
    <row r="10" spans="2:15" ht="16.5" hidden="1" customHeight="1">
      <c r="C10" s="7" t="s">
        <v>146</v>
      </c>
      <c r="D10" s="102"/>
      <c r="E10" s="102"/>
      <c r="F10" s="102"/>
      <c r="G10" s="96" t="e">
        <f t="shared" si="0"/>
        <v>#DIV/0!</v>
      </c>
      <c r="H10" s="96">
        <f t="shared" si="1"/>
        <v>0</v>
      </c>
      <c r="I10" s="95">
        <f t="shared" si="2"/>
        <v>0</v>
      </c>
      <c r="J10" s="97" t="e">
        <f t="shared" si="3"/>
        <v>#DIV/0!</v>
      </c>
    </row>
    <row r="11" spans="2:15" ht="16.5" hidden="1" customHeight="1">
      <c r="C11" s="7" t="s">
        <v>147</v>
      </c>
      <c r="D11" s="102"/>
      <c r="E11" s="102"/>
      <c r="F11" s="102"/>
      <c r="G11" s="96" t="e">
        <f t="shared" si="0"/>
        <v>#DIV/0!</v>
      </c>
      <c r="H11" s="96">
        <f t="shared" si="1"/>
        <v>0</v>
      </c>
      <c r="I11" s="95">
        <f t="shared" si="2"/>
        <v>0</v>
      </c>
      <c r="J11" s="97" t="e">
        <f t="shared" si="3"/>
        <v>#DIV/0!</v>
      </c>
    </row>
    <row r="12" spans="2:15" ht="16.5" hidden="1" customHeight="1">
      <c r="C12" s="92" t="s">
        <v>149</v>
      </c>
      <c r="D12" s="102"/>
      <c r="E12" s="102"/>
      <c r="F12" s="103"/>
      <c r="G12" s="96" t="e">
        <f t="shared" si="0"/>
        <v>#DIV/0!</v>
      </c>
      <c r="H12" s="96">
        <f t="shared" si="1"/>
        <v>0</v>
      </c>
      <c r="I12" s="95">
        <f t="shared" si="2"/>
        <v>0</v>
      </c>
      <c r="J12" s="97" t="e">
        <f t="shared" si="3"/>
        <v>#DIV/0!</v>
      </c>
    </row>
    <row r="13" spans="2:15" ht="17.25" hidden="1" customHeight="1" thickBot="1">
      <c r="C13" s="13" t="s">
        <v>148</v>
      </c>
      <c r="D13" s="99"/>
      <c r="E13" s="99"/>
      <c r="F13" s="99"/>
      <c r="G13" s="100" t="e">
        <f t="shared" si="0"/>
        <v>#DIV/0!</v>
      </c>
      <c r="H13" s="100">
        <f t="shared" si="1"/>
        <v>0</v>
      </c>
      <c r="I13" s="99">
        <f t="shared" si="2"/>
        <v>0</v>
      </c>
      <c r="J13" s="101" t="e">
        <f t="shared" si="3"/>
        <v>#DIV/0!</v>
      </c>
    </row>
    <row r="14" spans="2:15" ht="17.25" hidden="1" customHeight="1" thickBot="1"/>
    <row r="15" spans="2:15" ht="16.5" hidden="1" customHeight="1" thickBot="1">
      <c r="B15" s="30"/>
      <c r="C15" s="3" t="s">
        <v>150</v>
      </c>
      <c r="D15" s="281" t="s">
        <v>61</v>
      </c>
      <c r="E15" s="282"/>
      <c r="F15" s="282"/>
      <c r="G15" s="282"/>
      <c r="H15" s="282"/>
      <c r="I15" s="282"/>
      <c r="J15" s="283"/>
    </row>
    <row r="16" spans="2:15" ht="16.5" hidden="1" customHeight="1" thickBot="1">
      <c r="B16" s="30"/>
      <c r="C16" s="4" t="s">
        <v>4</v>
      </c>
      <c r="D16" s="278" t="e">
        <f>CONCATENATE(BICS6_Performance!#REF!,"_1GB")</f>
        <v>#REF!</v>
      </c>
      <c r="E16" s="279"/>
      <c r="F16" s="279"/>
      <c r="G16" s="279"/>
      <c r="H16" s="279"/>
      <c r="I16" s="279"/>
      <c r="J16" s="280"/>
      <c r="O16" s="74"/>
    </row>
    <row r="17" spans="2:15" ht="16.5" hidden="1" customHeight="1">
      <c r="C17" s="4" t="s">
        <v>5</v>
      </c>
      <c r="D17" s="5" t="s">
        <v>6</v>
      </c>
      <c r="E17" s="5" t="s">
        <v>7</v>
      </c>
      <c r="F17" s="5" t="s">
        <v>8</v>
      </c>
      <c r="G17" s="5" t="s">
        <v>9</v>
      </c>
      <c r="H17" s="5" t="s">
        <v>10</v>
      </c>
      <c r="I17" s="5" t="s">
        <v>11</v>
      </c>
      <c r="J17" s="6" t="s">
        <v>12</v>
      </c>
    </row>
    <row r="18" spans="2:15" ht="16.5" hidden="1" customHeight="1">
      <c r="C18" s="27" t="s">
        <v>45</v>
      </c>
      <c r="D18" s="95"/>
      <c r="E18" s="95"/>
      <c r="F18" s="95"/>
      <c r="G18" s="96" t="e">
        <f>AVERAGE(D18:F18)</f>
        <v>#DIV/0!</v>
      </c>
      <c r="H18" s="96">
        <f>MAX(D18:F18)</f>
        <v>0</v>
      </c>
      <c r="I18" s="95">
        <f>MIN(D18:F18)</f>
        <v>0</v>
      </c>
      <c r="J18" s="97" t="e">
        <f>_xlfn.STDEV.P(D18:F18)</f>
        <v>#DIV/0!</v>
      </c>
    </row>
    <row r="19" spans="2:15" ht="16.5" hidden="1" customHeight="1">
      <c r="C19" s="7" t="s">
        <v>46</v>
      </c>
      <c r="D19" s="95"/>
      <c r="E19" s="95"/>
      <c r="F19" s="95"/>
      <c r="G19" s="96" t="e">
        <f t="shared" ref="G19:G25" si="4">AVERAGE(D19:F19)</f>
        <v>#DIV/0!</v>
      </c>
      <c r="H19" s="96">
        <f t="shared" ref="H19:H25" si="5">MAX(D19:F19)</f>
        <v>0</v>
      </c>
      <c r="I19" s="95">
        <f t="shared" ref="I19:I25" si="6">MIN(D19:F19)</f>
        <v>0</v>
      </c>
      <c r="J19" s="97" t="e">
        <f t="shared" ref="J19:J25" si="7">_xlfn.STDEV.P(D19:F19)</f>
        <v>#DIV/0!</v>
      </c>
    </row>
    <row r="20" spans="2:15" ht="16.5" hidden="1" customHeight="1">
      <c r="C20" s="7" t="s">
        <v>64</v>
      </c>
      <c r="D20" s="95"/>
      <c r="E20" s="95"/>
      <c r="F20" s="95"/>
      <c r="G20" s="96" t="e">
        <f t="shared" si="4"/>
        <v>#DIV/0!</v>
      </c>
      <c r="H20" s="96">
        <f t="shared" si="5"/>
        <v>0</v>
      </c>
      <c r="I20" s="95">
        <f t="shared" si="6"/>
        <v>0</v>
      </c>
      <c r="J20" s="97" t="e">
        <f t="shared" si="7"/>
        <v>#DIV/0!</v>
      </c>
    </row>
    <row r="21" spans="2:15" ht="16.5" hidden="1" customHeight="1">
      <c r="C21" s="7" t="s">
        <v>63</v>
      </c>
      <c r="D21" s="95"/>
      <c r="E21" s="95"/>
      <c r="F21" s="95"/>
      <c r="G21" s="96" t="e">
        <f t="shared" si="4"/>
        <v>#DIV/0!</v>
      </c>
      <c r="H21" s="96">
        <f t="shared" si="5"/>
        <v>0</v>
      </c>
      <c r="I21" s="95">
        <f t="shared" si="6"/>
        <v>0</v>
      </c>
      <c r="J21" s="97" t="e">
        <f t="shared" si="7"/>
        <v>#DIV/0!</v>
      </c>
    </row>
    <row r="22" spans="2:15" ht="16.5" hidden="1" customHeight="1">
      <c r="C22" s="7" t="s">
        <v>146</v>
      </c>
      <c r="D22" s="95"/>
      <c r="E22" s="95"/>
      <c r="F22" s="95"/>
      <c r="G22" s="96" t="e">
        <f t="shared" si="4"/>
        <v>#DIV/0!</v>
      </c>
      <c r="H22" s="96">
        <f t="shared" si="5"/>
        <v>0</v>
      </c>
      <c r="I22" s="95">
        <f t="shared" si="6"/>
        <v>0</v>
      </c>
      <c r="J22" s="97" t="e">
        <f t="shared" si="7"/>
        <v>#DIV/0!</v>
      </c>
    </row>
    <row r="23" spans="2:15" ht="16.5" hidden="1" customHeight="1">
      <c r="C23" s="7" t="s">
        <v>147</v>
      </c>
      <c r="D23" s="95"/>
      <c r="E23" s="95"/>
      <c r="F23" s="95"/>
      <c r="G23" s="96" t="e">
        <f t="shared" si="4"/>
        <v>#DIV/0!</v>
      </c>
      <c r="H23" s="96">
        <f t="shared" si="5"/>
        <v>0</v>
      </c>
      <c r="I23" s="95">
        <f t="shared" si="6"/>
        <v>0</v>
      </c>
      <c r="J23" s="97" t="e">
        <f t="shared" si="7"/>
        <v>#DIV/0!</v>
      </c>
    </row>
    <row r="24" spans="2:15" ht="16.5" hidden="1" customHeight="1">
      <c r="C24" s="92" t="s">
        <v>149</v>
      </c>
      <c r="D24" s="95"/>
      <c r="E24" s="98"/>
      <c r="F24" s="95"/>
      <c r="G24" s="96" t="e">
        <f t="shared" si="4"/>
        <v>#DIV/0!</v>
      </c>
      <c r="H24" s="96">
        <f t="shared" si="5"/>
        <v>0</v>
      </c>
      <c r="I24" s="95">
        <f t="shared" si="6"/>
        <v>0</v>
      </c>
      <c r="J24" s="97" t="e">
        <f t="shared" si="7"/>
        <v>#DIV/0!</v>
      </c>
    </row>
    <row r="25" spans="2:15" ht="17.25" hidden="1" customHeight="1" thickBot="1">
      <c r="C25" s="13" t="s">
        <v>148</v>
      </c>
      <c r="D25" s="99"/>
      <c r="E25" s="99"/>
      <c r="F25" s="99"/>
      <c r="G25" s="100" t="e">
        <f t="shared" si="4"/>
        <v>#DIV/0!</v>
      </c>
      <c r="H25" s="100">
        <f t="shared" si="5"/>
        <v>0</v>
      </c>
      <c r="I25" s="99">
        <f t="shared" si="6"/>
        <v>0</v>
      </c>
      <c r="J25" s="101" t="e">
        <f t="shared" si="7"/>
        <v>#DIV/0!</v>
      </c>
    </row>
    <row r="26" spans="2:15" ht="17.25" hidden="1" customHeight="1" thickBot="1"/>
    <row r="27" spans="2:15" ht="16.5" hidden="1" customHeight="1" thickBot="1">
      <c r="B27" s="30"/>
      <c r="C27" s="3" t="s">
        <v>150</v>
      </c>
      <c r="D27" s="281" t="s">
        <v>61</v>
      </c>
      <c r="E27" s="282"/>
      <c r="F27" s="282"/>
      <c r="G27" s="282"/>
      <c r="H27" s="282"/>
      <c r="I27" s="282"/>
      <c r="J27" s="283"/>
    </row>
    <row r="28" spans="2:15" ht="16.5" hidden="1" customHeight="1" thickBot="1">
      <c r="B28" s="30"/>
      <c r="C28" s="4" t="s">
        <v>4</v>
      </c>
      <c r="D28" s="278" t="e">
        <f>CONCATENATE(BICS6_Performance!#REF!,"_1GB")</f>
        <v>#REF!</v>
      </c>
      <c r="E28" s="279"/>
      <c r="F28" s="279"/>
      <c r="G28" s="279"/>
      <c r="H28" s="279"/>
      <c r="I28" s="279"/>
      <c r="J28" s="280"/>
      <c r="O28" s="74"/>
    </row>
    <row r="29" spans="2:15" ht="16.5" hidden="1" customHeight="1">
      <c r="C29" s="4" t="s">
        <v>5</v>
      </c>
      <c r="D29" s="5" t="s">
        <v>6</v>
      </c>
      <c r="E29" s="5" t="s">
        <v>7</v>
      </c>
      <c r="F29" s="5" t="s">
        <v>8</v>
      </c>
      <c r="G29" s="5" t="s">
        <v>9</v>
      </c>
      <c r="H29" s="5" t="s">
        <v>10</v>
      </c>
      <c r="I29" s="5" t="s">
        <v>11</v>
      </c>
      <c r="J29" s="6" t="s">
        <v>12</v>
      </c>
    </row>
    <row r="30" spans="2:15" ht="16.5" hidden="1" customHeight="1">
      <c r="C30" s="27" t="s">
        <v>45</v>
      </c>
      <c r="D30" s="95"/>
      <c r="E30" s="95"/>
      <c r="F30" s="95"/>
      <c r="G30" s="96" t="e">
        <f>AVERAGE(D30:F30)</f>
        <v>#DIV/0!</v>
      </c>
      <c r="H30" s="96">
        <f>MAX(D30:F30)</f>
        <v>0</v>
      </c>
      <c r="I30" s="95">
        <f>MIN(D30:F30)</f>
        <v>0</v>
      </c>
      <c r="J30" s="97" t="e">
        <f>_xlfn.STDEV.P(D30:F30)</f>
        <v>#DIV/0!</v>
      </c>
    </row>
    <row r="31" spans="2:15" ht="16.5" hidden="1" customHeight="1">
      <c r="C31" s="7" t="s">
        <v>46</v>
      </c>
      <c r="D31" s="95"/>
      <c r="E31" s="95"/>
      <c r="F31" s="95"/>
      <c r="G31" s="96" t="e">
        <f t="shared" ref="G31:G37" si="8">AVERAGE(D31:F31)</f>
        <v>#DIV/0!</v>
      </c>
      <c r="H31" s="96">
        <f t="shared" ref="H31:H37" si="9">MAX(D31:F31)</f>
        <v>0</v>
      </c>
      <c r="I31" s="95">
        <f t="shared" ref="I31:I37" si="10">MIN(D31:F31)</f>
        <v>0</v>
      </c>
      <c r="J31" s="97" t="e">
        <f t="shared" ref="J31:J37" si="11">_xlfn.STDEV.P(D31:F31)</f>
        <v>#DIV/0!</v>
      </c>
    </row>
    <row r="32" spans="2:15" ht="16.5" hidden="1" customHeight="1">
      <c r="C32" s="7" t="s">
        <v>64</v>
      </c>
      <c r="D32" s="95"/>
      <c r="E32" s="95"/>
      <c r="F32" s="95"/>
      <c r="G32" s="96" t="e">
        <f t="shared" si="8"/>
        <v>#DIV/0!</v>
      </c>
      <c r="H32" s="96">
        <f t="shared" si="9"/>
        <v>0</v>
      </c>
      <c r="I32" s="95">
        <f t="shared" si="10"/>
        <v>0</v>
      </c>
      <c r="J32" s="97" t="e">
        <f t="shared" si="11"/>
        <v>#DIV/0!</v>
      </c>
    </row>
    <row r="33" spans="2:15" ht="16.5" hidden="1" customHeight="1">
      <c r="C33" s="7" t="s">
        <v>63</v>
      </c>
      <c r="D33" s="95"/>
      <c r="E33" s="95"/>
      <c r="F33" s="95"/>
      <c r="G33" s="96" t="e">
        <f t="shared" si="8"/>
        <v>#DIV/0!</v>
      </c>
      <c r="H33" s="96">
        <f t="shared" si="9"/>
        <v>0</v>
      </c>
      <c r="I33" s="95">
        <f t="shared" si="10"/>
        <v>0</v>
      </c>
      <c r="J33" s="97" t="e">
        <f t="shared" si="11"/>
        <v>#DIV/0!</v>
      </c>
    </row>
    <row r="34" spans="2:15" ht="16.5" hidden="1" customHeight="1">
      <c r="C34" s="7" t="s">
        <v>146</v>
      </c>
      <c r="D34" s="95"/>
      <c r="E34" s="95"/>
      <c r="F34" s="95"/>
      <c r="G34" s="96" t="e">
        <f t="shared" si="8"/>
        <v>#DIV/0!</v>
      </c>
      <c r="H34" s="96">
        <f t="shared" si="9"/>
        <v>0</v>
      </c>
      <c r="I34" s="95">
        <f t="shared" si="10"/>
        <v>0</v>
      </c>
      <c r="J34" s="97" t="e">
        <f t="shared" si="11"/>
        <v>#DIV/0!</v>
      </c>
    </row>
    <row r="35" spans="2:15" ht="16.5" hidden="1" customHeight="1">
      <c r="C35" s="7" t="s">
        <v>147</v>
      </c>
      <c r="D35" s="95"/>
      <c r="E35" s="95"/>
      <c r="F35" s="95"/>
      <c r="G35" s="96" t="e">
        <f t="shared" si="8"/>
        <v>#DIV/0!</v>
      </c>
      <c r="H35" s="96">
        <f t="shared" si="9"/>
        <v>0</v>
      </c>
      <c r="I35" s="95">
        <f t="shared" si="10"/>
        <v>0</v>
      </c>
      <c r="J35" s="97" t="e">
        <f t="shared" si="11"/>
        <v>#DIV/0!</v>
      </c>
    </row>
    <row r="36" spans="2:15" ht="16.5" hidden="1" customHeight="1">
      <c r="C36" s="92" t="s">
        <v>149</v>
      </c>
      <c r="D36" s="95"/>
      <c r="E36" s="98"/>
      <c r="F36" s="95"/>
      <c r="G36" s="96" t="e">
        <f t="shared" si="8"/>
        <v>#DIV/0!</v>
      </c>
      <c r="H36" s="96">
        <f t="shared" si="9"/>
        <v>0</v>
      </c>
      <c r="I36" s="95">
        <f t="shared" si="10"/>
        <v>0</v>
      </c>
      <c r="J36" s="97" t="e">
        <f t="shared" si="11"/>
        <v>#DIV/0!</v>
      </c>
    </row>
    <row r="37" spans="2:15" ht="17.25" hidden="1" customHeight="1" thickBot="1">
      <c r="C37" s="13" t="s">
        <v>148</v>
      </c>
      <c r="D37" s="99"/>
      <c r="E37" s="99"/>
      <c r="F37" s="99"/>
      <c r="G37" s="100" t="e">
        <f t="shared" si="8"/>
        <v>#DIV/0!</v>
      </c>
      <c r="H37" s="100">
        <f t="shared" si="9"/>
        <v>0</v>
      </c>
      <c r="I37" s="99">
        <f t="shared" si="10"/>
        <v>0</v>
      </c>
      <c r="J37" s="101" t="e">
        <f t="shared" si="11"/>
        <v>#DIV/0!</v>
      </c>
    </row>
    <row r="38" spans="2:15" ht="17.25" hidden="1" customHeight="1" thickBot="1"/>
    <row r="39" spans="2:15" ht="16.5" hidden="1" customHeight="1" thickBot="1">
      <c r="B39" s="31"/>
      <c r="C39" s="3" t="s">
        <v>150</v>
      </c>
      <c r="D39" s="281" t="s">
        <v>61</v>
      </c>
      <c r="E39" s="282"/>
      <c r="F39" s="282"/>
      <c r="G39" s="282"/>
      <c r="H39" s="282"/>
      <c r="I39" s="282"/>
      <c r="J39" s="283"/>
    </row>
    <row r="40" spans="2:15" ht="16.5" hidden="1" customHeight="1" thickBot="1">
      <c r="B40" s="31"/>
      <c r="C40" s="4" t="s">
        <v>4</v>
      </c>
      <c r="D40" s="278" t="e">
        <f>CONCATENATE(BICS6_Performance!#REF!,"_1GB")</f>
        <v>#REF!</v>
      </c>
      <c r="E40" s="279"/>
      <c r="F40" s="279"/>
      <c r="G40" s="279"/>
      <c r="H40" s="279"/>
      <c r="I40" s="279"/>
      <c r="J40" s="280"/>
      <c r="O40" s="74"/>
    </row>
    <row r="41" spans="2:15" ht="16.5" hidden="1" customHeight="1">
      <c r="C41" s="4" t="s">
        <v>5</v>
      </c>
      <c r="D41" s="5" t="s">
        <v>6</v>
      </c>
      <c r="E41" s="5" t="s">
        <v>7</v>
      </c>
      <c r="F41" s="5" t="s">
        <v>8</v>
      </c>
      <c r="G41" s="5" t="s">
        <v>9</v>
      </c>
      <c r="H41" s="5" t="s">
        <v>10</v>
      </c>
      <c r="I41" s="5" t="s">
        <v>11</v>
      </c>
      <c r="J41" s="6" t="s">
        <v>12</v>
      </c>
    </row>
    <row r="42" spans="2:15" ht="16.5" hidden="1" customHeight="1">
      <c r="C42" s="27" t="s">
        <v>45</v>
      </c>
      <c r="D42" s="95"/>
      <c r="E42" s="95"/>
      <c r="F42" s="95"/>
      <c r="G42" s="96" t="e">
        <f>AVERAGE(D42:F42)</f>
        <v>#DIV/0!</v>
      </c>
      <c r="H42" s="96">
        <f>MAX(D42:F42)</f>
        <v>0</v>
      </c>
      <c r="I42" s="95">
        <f>MIN(D42:F42)</f>
        <v>0</v>
      </c>
      <c r="J42" s="97" t="e">
        <f>_xlfn.STDEV.P(D42:F42)</f>
        <v>#DIV/0!</v>
      </c>
    </row>
    <row r="43" spans="2:15" ht="16.5" hidden="1" customHeight="1">
      <c r="C43" s="7" t="s">
        <v>46</v>
      </c>
      <c r="D43" s="95"/>
      <c r="E43" s="95"/>
      <c r="F43" s="95"/>
      <c r="G43" s="96" t="e">
        <f t="shared" ref="G43:G49" si="12">AVERAGE(D43:F43)</f>
        <v>#DIV/0!</v>
      </c>
      <c r="H43" s="96">
        <f t="shared" ref="H43:H49" si="13">MAX(D43:F43)</f>
        <v>0</v>
      </c>
      <c r="I43" s="95">
        <f t="shared" ref="I43:I49" si="14">MIN(D43:F43)</f>
        <v>0</v>
      </c>
      <c r="J43" s="97" t="e">
        <f t="shared" ref="J43:J49" si="15">_xlfn.STDEV.P(D43:F43)</f>
        <v>#DIV/0!</v>
      </c>
    </row>
    <row r="44" spans="2:15" ht="16.5" hidden="1" customHeight="1">
      <c r="C44" s="7" t="s">
        <v>64</v>
      </c>
      <c r="D44" s="95"/>
      <c r="E44" s="95"/>
      <c r="F44" s="95"/>
      <c r="G44" s="96" t="e">
        <f t="shared" si="12"/>
        <v>#DIV/0!</v>
      </c>
      <c r="H44" s="96">
        <f t="shared" si="13"/>
        <v>0</v>
      </c>
      <c r="I44" s="95">
        <f t="shared" si="14"/>
        <v>0</v>
      </c>
      <c r="J44" s="97" t="e">
        <f t="shared" si="15"/>
        <v>#DIV/0!</v>
      </c>
    </row>
    <row r="45" spans="2:15" ht="16.5" hidden="1" customHeight="1">
      <c r="C45" s="7" t="s">
        <v>63</v>
      </c>
      <c r="D45" s="95"/>
      <c r="E45" s="95"/>
      <c r="F45" s="95"/>
      <c r="G45" s="96" t="e">
        <f t="shared" si="12"/>
        <v>#DIV/0!</v>
      </c>
      <c r="H45" s="96">
        <f t="shared" si="13"/>
        <v>0</v>
      </c>
      <c r="I45" s="95">
        <f t="shared" si="14"/>
        <v>0</v>
      </c>
      <c r="J45" s="97" t="e">
        <f t="shared" si="15"/>
        <v>#DIV/0!</v>
      </c>
    </row>
    <row r="46" spans="2:15" ht="16.5" hidden="1" customHeight="1">
      <c r="C46" s="7" t="s">
        <v>146</v>
      </c>
      <c r="D46" s="95"/>
      <c r="E46" s="95"/>
      <c r="F46" s="95"/>
      <c r="G46" s="96" t="e">
        <f t="shared" si="12"/>
        <v>#DIV/0!</v>
      </c>
      <c r="H46" s="96">
        <f t="shared" si="13"/>
        <v>0</v>
      </c>
      <c r="I46" s="95">
        <f t="shared" si="14"/>
        <v>0</v>
      </c>
      <c r="J46" s="97" t="e">
        <f t="shared" si="15"/>
        <v>#DIV/0!</v>
      </c>
    </row>
    <row r="47" spans="2:15" ht="16.5" hidden="1" customHeight="1">
      <c r="C47" s="7" t="s">
        <v>147</v>
      </c>
      <c r="D47" s="95"/>
      <c r="E47" s="95"/>
      <c r="F47" s="95"/>
      <c r="G47" s="96" t="e">
        <f t="shared" si="12"/>
        <v>#DIV/0!</v>
      </c>
      <c r="H47" s="96">
        <f t="shared" si="13"/>
        <v>0</v>
      </c>
      <c r="I47" s="95">
        <f t="shared" si="14"/>
        <v>0</v>
      </c>
      <c r="J47" s="97" t="e">
        <f t="shared" si="15"/>
        <v>#DIV/0!</v>
      </c>
    </row>
    <row r="48" spans="2:15" ht="16.5" hidden="1" customHeight="1">
      <c r="C48" s="92" t="s">
        <v>149</v>
      </c>
      <c r="D48" s="98"/>
      <c r="E48" s="95"/>
      <c r="F48" s="95"/>
      <c r="G48" s="96" t="e">
        <f t="shared" si="12"/>
        <v>#DIV/0!</v>
      </c>
      <c r="H48" s="96">
        <f t="shared" si="13"/>
        <v>0</v>
      </c>
      <c r="I48" s="95">
        <f t="shared" si="14"/>
        <v>0</v>
      </c>
      <c r="J48" s="97" t="e">
        <f t="shared" si="15"/>
        <v>#DIV/0!</v>
      </c>
    </row>
    <row r="49" spans="2:15" ht="17.25" hidden="1" customHeight="1" thickBot="1">
      <c r="C49" s="13" t="s">
        <v>148</v>
      </c>
      <c r="D49" s="99"/>
      <c r="E49" s="99"/>
      <c r="F49" s="99"/>
      <c r="G49" s="100" t="e">
        <f t="shared" si="12"/>
        <v>#DIV/0!</v>
      </c>
      <c r="H49" s="100">
        <f t="shared" si="13"/>
        <v>0</v>
      </c>
      <c r="I49" s="99">
        <f t="shared" si="14"/>
        <v>0</v>
      </c>
      <c r="J49" s="101" t="e">
        <f t="shared" si="15"/>
        <v>#DIV/0!</v>
      </c>
    </row>
    <row r="50" spans="2:15" ht="17.25" hidden="1" customHeight="1" thickBot="1"/>
    <row r="51" spans="2:15" ht="16.5" hidden="1" customHeight="1" thickBot="1">
      <c r="B51" s="31"/>
      <c r="C51" s="3" t="s">
        <v>150</v>
      </c>
      <c r="D51" s="281" t="s">
        <v>62</v>
      </c>
      <c r="E51" s="282"/>
      <c r="F51" s="282"/>
      <c r="G51" s="282"/>
      <c r="H51" s="282"/>
      <c r="I51" s="282"/>
      <c r="J51" s="283"/>
    </row>
    <row r="52" spans="2:15" ht="16.5" hidden="1" customHeight="1" thickBot="1">
      <c r="B52" s="31"/>
      <c r="C52" s="4" t="s">
        <v>4</v>
      </c>
      <c r="D52" s="278" t="e">
        <f>CONCATENATE(BICS6_Performance!#REF!,"_1GB")</f>
        <v>#REF!</v>
      </c>
      <c r="E52" s="279"/>
      <c r="F52" s="279"/>
      <c r="G52" s="279"/>
      <c r="H52" s="279"/>
      <c r="I52" s="279"/>
      <c r="J52" s="280"/>
      <c r="O52" s="74"/>
    </row>
    <row r="53" spans="2:15" ht="16.5" hidden="1" customHeight="1">
      <c r="C53" s="4" t="s">
        <v>5</v>
      </c>
      <c r="D53" s="5" t="s">
        <v>6</v>
      </c>
      <c r="E53" s="5" t="s">
        <v>7</v>
      </c>
      <c r="F53" s="5" t="s">
        <v>8</v>
      </c>
      <c r="G53" s="5" t="s">
        <v>9</v>
      </c>
      <c r="H53" s="5" t="s">
        <v>10</v>
      </c>
      <c r="I53" s="5" t="s">
        <v>11</v>
      </c>
      <c r="J53" s="6" t="s">
        <v>12</v>
      </c>
    </row>
    <row r="54" spans="2:15" ht="16.5" hidden="1" customHeight="1">
      <c r="C54" s="27" t="s">
        <v>45</v>
      </c>
      <c r="D54" s="95"/>
      <c r="E54" s="95"/>
      <c r="F54" s="95"/>
      <c r="G54" s="96" t="e">
        <f>AVERAGE(D54:F54)</f>
        <v>#DIV/0!</v>
      </c>
      <c r="H54" s="96">
        <f>MAX(D54:F54)</f>
        <v>0</v>
      </c>
      <c r="I54" s="95">
        <f>MIN(D54:F54)</f>
        <v>0</v>
      </c>
      <c r="J54" s="97" t="e">
        <f>_xlfn.STDEV.P(D54:F54)</f>
        <v>#DIV/0!</v>
      </c>
    </row>
    <row r="55" spans="2:15" ht="16.5" hidden="1" customHeight="1">
      <c r="C55" s="7" t="s">
        <v>46</v>
      </c>
      <c r="D55" s="95"/>
      <c r="E55" s="95"/>
      <c r="F55" s="95"/>
      <c r="G55" s="96" t="e">
        <f t="shared" ref="G55:G61" si="16">AVERAGE(D55:F55)</f>
        <v>#DIV/0!</v>
      </c>
      <c r="H55" s="96">
        <f t="shared" ref="H55:H61" si="17">MAX(D55:F55)</f>
        <v>0</v>
      </c>
      <c r="I55" s="95">
        <f t="shared" ref="I55:I61" si="18">MIN(D55:F55)</f>
        <v>0</v>
      </c>
      <c r="J55" s="97" t="e">
        <f t="shared" ref="J55:J61" si="19">_xlfn.STDEV.P(D55:F55)</f>
        <v>#DIV/0!</v>
      </c>
    </row>
    <row r="56" spans="2:15" ht="16.5" hidden="1" customHeight="1">
      <c r="C56" s="7" t="s">
        <v>64</v>
      </c>
      <c r="D56" s="95"/>
      <c r="E56" s="95"/>
      <c r="F56" s="95"/>
      <c r="G56" s="96" t="e">
        <f t="shared" si="16"/>
        <v>#DIV/0!</v>
      </c>
      <c r="H56" s="96">
        <f t="shared" si="17"/>
        <v>0</v>
      </c>
      <c r="I56" s="95">
        <f t="shared" si="18"/>
        <v>0</v>
      </c>
      <c r="J56" s="97" t="e">
        <f t="shared" si="19"/>
        <v>#DIV/0!</v>
      </c>
    </row>
    <row r="57" spans="2:15" ht="16.5" hidden="1" customHeight="1">
      <c r="C57" s="7" t="s">
        <v>63</v>
      </c>
      <c r="D57" s="95"/>
      <c r="E57" s="95"/>
      <c r="F57" s="95"/>
      <c r="G57" s="96" t="e">
        <f t="shared" si="16"/>
        <v>#DIV/0!</v>
      </c>
      <c r="H57" s="96">
        <f t="shared" si="17"/>
        <v>0</v>
      </c>
      <c r="I57" s="95">
        <f t="shared" si="18"/>
        <v>0</v>
      </c>
      <c r="J57" s="97" t="e">
        <f t="shared" si="19"/>
        <v>#DIV/0!</v>
      </c>
    </row>
    <row r="58" spans="2:15" ht="16.5" hidden="1" customHeight="1">
      <c r="C58" s="7" t="s">
        <v>146</v>
      </c>
      <c r="D58" s="95"/>
      <c r="E58" s="95"/>
      <c r="F58" s="95"/>
      <c r="G58" s="96" t="e">
        <f t="shared" si="16"/>
        <v>#DIV/0!</v>
      </c>
      <c r="H58" s="96">
        <f t="shared" si="17"/>
        <v>0</v>
      </c>
      <c r="I58" s="95">
        <f t="shared" si="18"/>
        <v>0</v>
      </c>
      <c r="J58" s="97" t="e">
        <f t="shared" si="19"/>
        <v>#DIV/0!</v>
      </c>
    </row>
    <row r="59" spans="2:15" ht="16.5" hidden="1" customHeight="1">
      <c r="C59" s="7" t="s">
        <v>147</v>
      </c>
      <c r="D59" s="95"/>
      <c r="E59" s="95"/>
      <c r="F59" s="95"/>
      <c r="G59" s="96" t="e">
        <f t="shared" si="16"/>
        <v>#DIV/0!</v>
      </c>
      <c r="H59" s="96">
        <f t="shared" si="17"/>
        <v>0</v>
      </c>
      <c r="I59" s="95">
        <f t="shared" si="18"/>
        <v>0</v>
      </c>
      <c r="J59" s="97" t="e">
        <f t="shared" si="19"/>
        <v>#DIV/0!</v>
      </c>
    </row>
    <row r="60" spans="2:15" ht="16.5" hidden="1" customHeight="1">
      <c r="C60" s="92" t="s">
        <v>149</v>
      </c>
      <c r="D60" s="98"/>
      <c r="E60" s="95"/>
      <c r="F60" s="95"/>
      <c r="G60" s="96" t="e">
        <f t="shared" si="16"/>
        <v>#DIV/0!</v>
      </c>
      <c r="H60" s="96">
        <f t="shared" si="17"/>
        <v>0</v>
      </c>
      <c r="I60" s="95">
        <f t="shared" si="18"/>
        <v>0</v>
      </c>
      <c r="J60" s="97" t="e">
        <f t="shared" si="19"/>
        <v>#DIV/0!</v>
      </c>
    </row>
    <row r="61" spans="2:15" ht="17.25" hidden="1" customHeight="1" thickBot="1">
      <c r="C61" s="13" t="s">
        <v>148</v>
      </c>
      <c r="D61" s="99"/>
      <c r="E61" s="99"/>
      <c r="F61" s="99"/>
      <c r="G61" s="100" t="e">
        <f t="shared" si="16"/>
        <v>#DIV/0!</v>
      </c>
      <c r="H61" s="100">
        <f t="shared" si="17"/>
        <v>0</v>
      </c>
      <c r="I61" s="99">
        <f t="shared" si="18"/>
        <v>0</v>
      </c>
      <c r="J61" s="101" t="e">
        <f t="shared" si="19"/>
        <v>#DIV/0!</v>
      </c>
    </row>
    <row r="62" spans="2:15" ht="17.25" customHeight="1" thickBot="1"/>
    <row r="63" spans="2:15" ht="16.5" customHeight="1" thickBot="1">
      <c r="B63" s="30"/>
      <c r="C63" s="3" t="s">
        <v>150</v>
      </c>
      <c r="D63" s="384" t="s">
        <v>61</v>
      </c>
      <c r="E63" s="384"/>
      <c r="F63" s="384"/>
      <c r="G63" s="384"/>
      <c r="H63" s="384"/>
      <c r="I63" s="384"/>
      <c r="J63" s="385"/>
    </row>
    <row r="64" spans="2:15" ht="16.5" customHeight="1" thickBot="1">
      <c r="B64" s="30"/>
      <c r="C64" s="4" t="s">
        <v>4</v>
      </c>
      <c r="D64" s="382" t="e">
        <f>CONCATENATE(BICS6_Performance!#REF!,"_1GB")</f>
        <v>#REF!</v>
      </c>
      <c r="E64" s="382"/>
      <c r="F64" s="382"/>
      <c r="G64" s="382"/>
      <c r="H64" s="382"/>
      <c r="I64" s="382"/>
      <c r="J64" s="383"/>
      <c r="O64" s="74"/>
    </row>
    <row r="65" spans="2:15" ht="16.5" customHeight="1">
      <c r="C65" s="4" t="s">
        <v>5</v>
      </c>
      <c r="D65" s="5" t="s">
        <v>6</v>
      </c>
      <c r="E65" s="5" t="s">
        <v>7</v>
      </c>
      <c r="F65" s="5" t="s">
        <v>8</v>
      </c>
      <c r="G65" s="5" t="s">
        <v>9</v>
      </c>
      <c r="H65" s="5" t="s">
        <v>10</v>
      </c>
      <c r="I65" s="5" t="s">
        <v>11</v>
      </c>
      <c r="J65" s="6" t="s">
        <v>12</v>
      </c>
    </row>
    <row r="66" spans="2:15" s="105" customFormat="1" ht="16.5" customHeight="1">
      <c r="C66" s="106" t="s">
        <v>171</v>
      </c>
      <c r="D66" s="107">
        <f>'CDM8 Ref'!$E1</f>
        <v>0</v>
      </c>
      <c r="E66" s="107">
        <f>'CDM8 Ref'!E13</f>
        <v>0</v>
      </c>
      <c r="F66" s="107">
        <f>'CDM8 Ref'!E25</f>
        <v>0</v>
      </c>
      <c r="G66" s="182">
        <f>AVERAGE(D66:F66)</f>
        <v>0</v>
      </c>
      <c r="H66" s="182">
        <f>MAX(D66:F66)</f>
        <v>0</v>
      </c>
      <c r="I66" s="182">
        <f>MIN(D66:F66)</f>
        <v>0</v>
      </c>
      <c r="J66" s="111">
        <f>_xlfn.STDEV.P(D66:F66)</f>
        <v>0</v>
      </c>
    </row>
    <row r="67" spans="2:15" ht="16.5" customHeight="1">
      <c r="C67" s="7" t="s">
        <v>173</v>
      </c>
      <c r="D67" s="107">
        <f>'CDM8 Ref'!$E2</f>
        <v>0</v>
      </c>
      <c r="E67" s="107">
        <f>'CDM8 Ref'!E14</f>
        <v>0</v>
      </c>
      <c r="F67" s="107">
        <f>'CDM8 Ref'!E26</f>
        <v>0</v>
      </c>
      <c r="G67" s="182">
        <f t="shared" ref="G67:G73" si="20">AVERAGE(D67:F67)</f>
        <v>0</v>
      </c>
      <c r="H67" s="182">
        <f t="shared" ref="H67:H73" si="21">MAX(D67:F67)</f>
        <v>0</v>
      </c>
      <c r="I67" s="182">
        <f t="shared" ref="I67:I73" si="22">MIN(D67:F67)</f>
        <v>0</v>
      </c>
      <c r="J67" s="111">
        <f t="shared" ref="J67:J73" si="23">_xlfn.STDEV.P(D67:F67)</f>
        <v>0</v>
      </c>
    </row>
    <row r="68" spans="2:15" ht="16.5" customHeight="1">
      <c r="C68" s="7" t="s">
        <v>175</v>
      </c>
      <c r="D68" s="107">
        <f>'CDM8 Ref'!$G3</f>
        <v>0</v>
      </c>
      <c r="E68" s="107">
        <f>'CDM8 Ref'!G15</f>
        <v>0</v>
      </c>
      <c r="F68" s="107">
        <f>'CDM8 Ref'!G27</f>
        <v>0</v>
      </c>
      <c r="G68" s="182">
        <f t="shared" si="20"/>
        <v>0</v>
      </c>
      <c r="H68" s="182">
        <f t="shared" si="21"/>
        <v>0</v>
      </c>
      <c r="I68" s="182">
        <f t="shared" si="22"/>
        <v>0</v>
      </c>
      <c r="J68" s="111">
        <f t="shared" si="23"/>
        <v>0</v>
      </c>
    </row>
    <row r="69" spans="2:15" ht="16.5" customHeight="1">
      <c r="C69" s="7" t="s">
        <v>177</v>
      </c>
      <c r="D69" s="107">
        <f>'CDM8 Ref'!$G4</f>
        <v>0</v>
      </c>
      <c r="E69" s="107">
        <f>'CDM8 Ref'!G16</f>
        <v>0</v>
      </c>
      <c r="F69" s="107">
        <f>'CDM8 Ref'!G28</f>
        <v>0</v>
      </c>
      <c r="G69" s="182">
        <f t="shared" si="20"/>
        <v>0</v>
      </c>
      <c r="H69" s="182">
        <f t="shared" si="21"/>
        <v>0</v>
      </c>
      <c r="I69" s="182">
        <f t="shared" si="22"/>
        <v>0</v>
      </c>
      <c r="J69" s="111">
        <f t="shared" si="23"/>
        <v>0</v>
      </c>
    </row>
    <row r="70" spans="2:15" ht="16.5" customHeight="1">
      <c r="C70" s="7" t="s">
        <v>172</v>
      </c>
      <c r="D70" s="107">
        <f>'CDM8 Ref'!$E5</f>
        <v>0</v>
      </c>
      <c r="E70" s="107">
        <f>'CDM8 Ref'!E17</f>
        <v>0</v>
      </c>
      <c r="F70" s="107">
        <f>'CDM8 Ref'!E29</f>
        <v>0</v>
      </c>
      <c r="G70" s="182">
        <f t="shared" si="20"/>
        <v>0</v>
      </c>
      <c r="H70" s="182">
        <f t="shared" si="21"/>
        <v>0</v>
      </c>
      <c r="I70" s="182">
        <f t="shared" si="22"/>
        <v>0</v>
      </c>
      <c r="J70" s="111">
        <f t="shared" si="23"/>
        <v>0</v>
      </c>
    </row>
    <row r="71" spans="2:15" ht="16.5" customHeight="1">
      <c r="C71" s="7" t="s">
        <v>174</v>
      </c>
      <c r="D71" s="107">
        <f>'CDM8 Ref'!$E6</f>
        <v>0</v>
      </c>
      <c r="E71" s="107">
        <f>'CDM8 Ref'!E18</f>
        <v>0</v>
      </c>
      <c r="F71" s="107">
        <f>'CDM8 Ref'!E30</f>
        <v>0</v>
      </c>
      <c r="G71" s="182">
        <f t="shared" si="20"/>
        <v>0</v>
      </c>
      <c r="H71" s="182">
        <f t="shared" si="21"/>
        <v>0</v>
      </c>
      <c r="I71" s="182">
        <f t="shared" si="22"/>
        <v>0</v>
      </c>
      <c r="J71" s="111">
        <f t="shared" si="23"/>
        <v>0</v>
      </c>
    </row>
    <row r="72" spans="2:15" ht="16.5" customHeight="1">
      <c r="C72" s="7" t="s">
        <v>176</v>
      </c>
      <c r="D72" s="107">
        <f>'CDM8 Ref'!$G7</f>
        <v>0</v>
      </c>
      <c r="E72" s="107">
        <f>'CDM8 Ref'!G19</f>
        <v>0</v>
      </c>
      <c r="F72" s="107">
        <f>'CDM8 Ref'!G31</f>
        <v>0</v>
      </c>
      <c r="G72" s="182">
        <f t="shared" si="20"/>
        <v>0</v>
      </c>
      <c r="H72" s="182">
        <f t="shared" si="21"/>
        <v>0</v>
      </c>
      <c r="I72" s="182">
        <f t="shared" si="22"/>
        <v>0</v>
      </c>
      <c r="J72" s="111">
        <f t="shared" si="23"/>
        <v>0</v>
      </c>
    </row>
    <row r="73" spans="2:15" ht="17.25" customHeight="1">
      <c r="C73" s="7" t="s">
        <v>52</v>
      </c>
      <c r="D73" s="107">
        <f>'CDM8 Ref'!$G8</f>
        <v>0</v>
      </c>
      <c r="E73" s="107">
        <f>'CDM8 Ref'!G20</f>
        <v>0</v>
      </c>
      <c r="F73" s="107">
        <f>'CDM8 Ref'!G32</f>
        <v>0</v>
      </c>
      <c r="G73" s="182">
        <f t="shared" si="20"/>
        <v>0</v>
      </c>
      <c r="H73" s="182">
        <f t="shared" si="21"/>
        <v>0</v>
      </c>
      <c r="I73" s="182">
        <f t="shared" si="22"/>
        <v>0</v>
      </c>
      <c r="J73" s="111">
        <f t="shared" si="23"/>
        <v>0</v>
      </c>
    </row>
    <row r="74" spans="2:15" ht="17.25" customHeight="1">
      <c r="C74" s="7" t="s">
        <v>169</v>
      </c>
      <c r="D74" s="107">
        <f>'CDM8 Ref'!$E9</f>
        <v>0</v>
      </c>
      <c r="E74" s="107">
        <f>'CDM8 Ref'!E21</f>
        <v>0</v>
      </c>
      <c r="F74" s="107">
        <f>'CDM8 Ref'!E33</f>
        <v>0</v>
      </c>
      <c r="G74" s="182">
        <f t="shared" ref="G74:G77" si="24">AVERAGE(D74:F74)</f>
        <v>0</v>
      </c>
      <c r="H74" s="182">
        <f t="shared" ref="H74:H77" si="25">MAX(D74:F74)</f>
        <v>0</v>
      </c>
      <c r="I74" s="182">
        <f t="shared" ref="I74:I77" si="26">MIN(D74:F74)</f>
        <v>0</v>
      </c>
      <c r="J74" s="111">
        <f t="shared" ref="J74:J77" si="27">_xlfn.STDEV.P(D74:F74)</f>
        <v>0</v>
      </c>
    </row>
    <row r="75" spans="2:15" ht="17.25" customHeight="1">
      <c r="C75" s="7" t="s">
        <v>169</v>
      </c>
      <c r="D75" s="107">
        <f>'CDM8 Ref'!$E10</f>
        <v>0</v>
      </c>
      <c r="E75" s="107">
        <f>'CDM8 Ref'!E22</f>
        <v>0</v>
      </c>
      <c r="F75" s="107">
        <f>'CDM8 Ref'!E34</f>
        <v>0</v>
      </c>
      <c r="G75" s="182">
        <f t="shared" si="24"/>
        <v>0</v>
      </c>
      <c r="H75" s="182">
        <f t="shared" si="25"/>
        <v>0</v>
      </c>
      <c r="I75" s="182">
        <f t="shared" si="26"/>
        <v>0</v>
      </c>
      <c r="J75" s="111">
        <f t="shared" si="27"/>
        <v>0</v>
      </c>
    </row>
    <row r="76" spans="2:15" ht="17.25" customHeight="1">
      <c r="C76" s="7" t="s">
        <v>170</v>
      </c>
      <c r="D76" s="107">
        <f>'CDM8 Ref'!$G11</f>
        <v>0</v>
      </c>
      <c r="E76" s="107">
        <f>'CDM8 Ref'!G23</f>
        <v>0</v>
      </c>
      <c r="F76" s="107">
        <f>'CDM8 Ref'!G35</f>
        <v>0</v>
      </c>
      <c r="G76" s="182">
        <f t="shared" si="24"/>
        <v>0</v>
      </c>
      <c r="H76" s="182">
        <f t="shared" si="25"/>
        <v>0</v>
      </c>
      <c r="I76" s="182">
        <f t="shared" si="26"/>
        <v>0</v>
      </c>
      <c r="J76" s="111">
        <f t="shared" si="27"/>
        <v>0</v>
      </c>
    </row>
    <row r="77" spans="2:15" ht="17.25" customHeight="1" thickBot="1">
      <c r="C77" s="13" t="s">
        <v>170</v>
      </c>
      <c r="D77" s="196">
        <f>'CDM8 Ref'!$G12</f>
        <v>0</v>
      </c>
      <c r="E77" s="196">
        <f>'CDM8 Ref'!G24</f>
        <v>0</v>
      </c>
      <c r="F77" s="196">
        <f>'CDM8 Ref'!G36</f>
        <v>0</v>
      </c>
      <c r="G77" s="185">
        <f t="shared" si="24"/>
        <v>0</v>
      </c>
      <c r="H77" s="185">
        <f t="shared" si="25"/>
        <v>0</v>
      </c>
      <c r="I77" s="185">
        <f t="shared" si="26"/>
        <v>0</v>
      </c>
      <c r="J77" s="186">
        <f t="shared" si="27"/>
        <v>0</v>
      </c>
    </row>
    <row r="78" spans="2:15" ht="17.25" customHeight="1" thickBot="1"/>
    <row r="79" spans="2:15" ht="16.5" customHeight="1" thickBot="1">
      <c r="B79" s="30" t="s">
        <v>97</v>
      </c>
      <c r="C79" s="3" t="s">
        <v>150</v>
      </c>
      <c r="D79" s="384" t="s">
        <v>104</v>
      </c>
      <c r="E79" s="384"/>
      <c r="F79" s="384"/>
      <c r="G79" s="384"/>
      <c r="H79" s="384"/>
      <c r="I79" s="384"/>
      <c r="J79" s="385"/>
      <c r="O79" s="104"/>
    </row>
    <row r="80" spans="2:15" ht="16.5" customHeight="1" thickBot="1">
      <c r="B80" s="30"/>
      <c r="C80" s="4" t="s">
        <v>4</v>
      </c>
      <c r="D80" s="382" t="str">
        <f>BICS6_Performance!Q12</f>
        <v>A0001BWD</v>
      </c>
      <c r="E80" s="382"/>
      <c r="F80" s="382"/>
      <c r="G80" s="382"/>
      <c r="H80" s="382"/>
      <c r="I80" s="382"/>
      <c r="J80" s="383"/>
      <c r="O80" s="74"/>
    </row>
    <row r="81" spans="2:15" ht="16.5" customHeight="1">
      <c r="C81" s="4" t="s">
        <v>5</v>
      </c>
      <c r="D81" s="5" t="s">
        <v>6</v>
      </c>
      <c r="E81" s="5" t="s">
        <v>7</v>
      </c>
      <c r="F81" s="5" t="s">
        <v>8</v>
      </c>
      <c r="G81" s="5" t="s">
        <v>9</v>
      </c>
      <c r="H81" s="5" t="s">
        <v>10</v>
      </c>
      <c r="I81" s="5" t="s">
        <v>11</v>
      </c>
      <c r="J81" s="6" t="s">
        <v>12</v>
      </c>
    </row>
    <row r="82" spans="2:15" s="105" customFormat="1" ht="16.5" customHeight="1">
      <c r="C82" s="106" t="s">
        <v>171</v>
      </c>
      <c r="D82" s="107">
        <f>'CDM8 Ref'!$P1</f>
        <v>0</v>
      </c>
      <c r="E82" s="107">
        <f>'CDM8 Ref'!$P13</f>
        <v>0</v>
      </c>
      <c r="F82" s="107">
        <f>'CDM8 Ref'!$P25</f>
        <v>0</v>
      </c>
      <c r="G82" s="182">
        <f>AVERAGE(D82:F82)</f>
        <v>0</v>
      </c>
      <c r="H82" s="182">
        <f>MAX(D82:F82)</f>
        <v>0</v>
      </c>
      <c r="I82" s="182">
        <f>MIN(D82:F82)</f>
        <v>0</v>
      </c>
      <c r="J82" s="111">
        <f>_xlfn.STDEV.P(D82:F82)</f>
        <v>0</v>
      </c>
    </row>
    <row r="83" spans="2:15" ht="16.5" customHeight="1">
      <c r="C83" s="7" t="s">
        <v>173</v>
      </c>
      <c r="D83" s="107">
        <f>'CDM8 Ref'!$P2</f>
        <v>0</v>
      </c>
      <c r="E83" s="107">
        <f>'CDM8 Ref'!$P14</f>
        <v>0</v>
      </c>
      <c r="F83" s="107">
        <f>'CDM8 Ref'!$P26</f>
        <v>0</v>
      </c>
      <c r="G83" s="182">
        <f t="shared" ref="G83:G88" si="28">AVERAGE(D83:F83)</f>
        <v>0</v>
      </c>
      <c r="H83" s="182">
        <f t="shared" ref="H83:H88" si="29">MAX(D83:F83)</f>
        <v>0</v>
      </c>
      <c r="I83" s="182">
        <f t="shared" ref="I83:I88" si="30">MIN(D83:F83)</f>
        <v>0</v>
      </c>
      <c r="J83" s="111">
        <f t="shared" ref="J83:J88" si="31">_xlfn.STDEV.P(D83:F83)</f>
        <v>0</v>
      </c>
    </row>
    <row r="84" spans="2:15" ht="16.5" customHeight="1">
      <c r="C84" s="7" t="s">
        <v>175</v>
      </c>
      <c r="D84" s="107">
        <f>'CDM8 Ref'!$R3</f>
        <v>0</v>
      </c>
      <c r="E84" s="107">
        <f>'CDM8 Ref'!$R15</f>
        <v>0</v>
      </c>
      <c r="F84" s="107">
        <f>'CDM8 Ref'!$R27</f>
        <v>0</v>
      </c>
      <c r="G84" s="182">
        <f t="shared" si="28"/>
        <v>0</v>
      </c>
      <c r="H84" s="182">
        <f t="shared" si="29"/>
        <v>0</v>
      </c>
      <c r="I84" s="182">
        <f t="shared" si="30"/>
        <v>0</v>
      </c>
      <c r="J84" s="111">
        <f t="shared" si="31"/>
        <v>0</v>
      </c>
    </row>
    <row r="85" spans="2:15" ht="16.5" customHeight="1">
      <c r="C85" s="7" t="s">
        <v>177</v>
      </c>
      <c r="D85" s="107">
        <f>'CDM8 Ref'!$R4</f>
        <v>0</v>
      </c>
      <c r="E85" s="107">
        <f>'CDM8 Ref'!$R16</f>
        <v>0</v>
      </c>
      <c r="F85" s="107">
        <f>'CDM8 Ref'!$R28</f>
        <v>0</v>
      </c>
      <c r="G85" s="182">
        <f t="shared" si="28"/>
        <v>0</v>
      </c>
      <c r="H85" s="182">
        <f t="shared" si="29"/>
        <v>0</v>
      </c>
      <c r="I85" s="182">
        <f t="shared" si="30"/>
        <v>0</v>
      </c>
      <c r="J85" s="111">
        <f t="shared" si="31"/>
        <v>0</v>
      </c>
    </row>
    <row r="86" spans="2:15" ht="16.5" customHeight="1">
      <c r="C86" s="7" t="s">
        <v>172</v>
      </c>
      <c r="D86" s="107">
        <f>'CDM8 Ref'!$P5</f>
        <v>0</v>
      </c>
      <c r="E86" s="107">
        <f>'CDM8 Ref'!$P17</f>
        <v>0</v>
      </c>
      <c r="F86" s="107">
        <f>'CDM8 Ref'!$P29</f>
        <v>0</v>
      </c>
      <c r="G86" s="182">
        <f t="shared" si="28"/>
        <v>0</v>
      </c>
      <c r="H86" s="182">
        <f t="shared" si="29"/>
        <v>0</v>
      </c>
      <c r="I86" s="182">
        <f t="shared" si="30"/>
        <v>0</v>
      </c>
      <c r="J86" s="111">
        <f t="shared" si="31"/>
        <v>0</v>
      </c>
    </row>
    <row r="87" spans="2:15" ht="16.5" customHeight="1">
      <c r="C87" s="7" t="s">
        <v>174</v>
      </c>
      <c r="D87" s="107">
        <f>'CDM8 Ref'!$P6</f>
        <v>0</v>
      </c>
      <c r="E87" s="107">
        <f>'CDM8 Ref'!$P18</f>
        <v>0</v>
      </c>
      <c r="F87" s="107">
        <f>'CDM8 Ref'!$P30</f>
        <v>0</v>
      </c>
      <c r="G87" s="182">
        <f t="shared" si="28"/>
        <v>0</v>
      </c>
      <c r="H87" s="182">
        <f t="shared" si="29"/>
        <v>0</v>
      </c>
      <c r="I87" s="182">
        <f t="shared" si="30"/>
        <v>0</v>
      </c>
      <c r="J87" s="111">
        <f t="shared" si="31"/>
        <v>0</v>
      </c>
    </row>
    <row r="88" spans="2:15" ht="16.5" customHeight="1">
      <c r="C88" s="7" t="s">
        <v>176</v>
      </c>
      <c r="D88" s="107">
        <f>'CDM8 Ref'!$R7</f>
        <v>0</v>
      </c>
      <c r="E88" s="107">
        <f>'CDM8 Ref'!$R19</f>
        <v>0</v>
      </c>
      <c r="F88" s="107">
        <f>'CDM8 Ref'!$R31</f>
        <v>0</v>
      </c>
      <c r="G88" s="182">
        <f t="shared" si="28"/>
        <v>0</v>
      </c>
      <c r="H88" s="182">
        <f t="shared" si="29"/>
        <v>0</v>
      </c>
      <c r="I88" s="182">
        <f t="shared" si="30"/>
        <v>0</v>
      </c>
      <c r="J88" s="111">
        <f t="shared" si="31"/>
        <v>0</v>
      </c>
    </row>
    <row r="89" spans="2:15" ht="17.25" customHeight="1">
      <c r="C89" s="7" t="s">
        <v>52</v>
      </c>
      <c r="D89" s="107">
        <f>'CDM8 Ref'!$R8</f>
        <v>0</v>
      </c>
      <c r="E89" s="107">
        <f>'CDM8 Ref'!$R20</f>
        <v>0</v>
      </c>
      <c r="F89" s="107">
        <f>'CDM8 Ref'!$R32</f>
        <v>0</v>
      </c>
      <c r="G89" s="182">
        <f t="shared" ref="G89" si="32">AVERAGE(D89:F89)</f>
        <v>0</v>
      </c>
      <c r="H89" s="182">
        <f t="shared" ref="H89" si="33">MAX(D89:F89)</f>
        <v>0</v>
      </c>
      <c r="I89" s="182">
        <f t="shared" ref="I89" si="34">MIN(D89:F89)</f>
        <v>0</v>
      </c>
      <c r="J89" s="111">
        <f t="shared" ref="J89" si="35">_xlfn.STDEV.P(D89:F89)</f>
        <v>0</v>
      </c>
    </row>
    <row r="90" spans="2:15" ht="17.25" customHeight="1">
      <c r="C90" s="7" t="s">
        <v>169</v>
      </c>
      <c r="D90" s="107">
        <f>'CDM8 Ref'!$P9</f>
        <v>0</v>
      </c>
      <c r="E90" s="107">
        <f>'CDM8 Ref'!$P21</f>
        <v>0</v>
      </c>
      <c r="F90" s="107">
        <f>'CDM8 Ref'!$P33</f>
        <v>0</v>
      </c>
      <c r="G90" s="182">
        <f t="shared" ref="G90:G93" si="36">AVERAGE(D90:F90)</f>
        <v>0</v>
      </c>
      <c r="H90" s="182">
        <f t="shared" ref="H90:H93" si="37">MAX(D90:F90)</f>
        <v>0</v>
      </c>
      <c r="I90" s="182">
        <f t="shared" ref="I90:I93" si="38">MIN(D90:F90)</f>
        <v>0</v>
      </c>
      <c r="J90" s="111">
        <f t="shared" ref="J90:J93" si="39">_xlfn.STDEV.P(D90:F90)</f>
        <v>0</v>
      </c>
    </row>
    <row r="91" spans="2:15" ht="17.25" customHeight="1">
      <c r="C91" s="7" t="s">
        <v>169</v>
      </c>
      <c r="D91" s="107">
        <f>'CDM8 Ref'!$P10</f>
        <v>0</v>
      </c>
      <c r="E91" s="107">
        <f>'CDM8 Ref'!$P22</f>
        <v>0</v>
      </c>
      <c r="F91" s="107">
        <f>'CDM8 Ref'!$P34</f>
        <v>0</v>
      </c>
      <c r="G91" s="182">
        <f t="shared" si="36"/>
        <v>0</v>
      </c>
      <c r="H91" s="182">
        <f t="shared" si="37"/>
        <v>0</v>
      </c>
      <c r="I91" s="182">
        <f t="shared" si="38"/>
        <v>0</v>
      </c>
      <c r="J91" s="111">
        <f t="shared" si="39"/>
        <v>0</v>
      </c>
    </row>
    <row r="92" spans="2:15" ht="17.25" customHeight="1">
      <c r="C92" s="7" t="s">
        <v>170</v>
      </c>
      <c r="D92" s="107">
        <f>'CDM8 Ref'!$R11</f>
        <v>0</v>
      </c>
      <c r="E92" s="107">
        <f>'CDM8 Ref'!$R23</f>
        <v>0</v>
      </c>
      <c r="F92" s="107">
        <f>'CDM8 Ref'!$R35</f>
        <v>0</v>
      </c>
      <c r="G92" s="182">
        <f t="shared" si="36"/>
        <v>0</v>
      </c>
      <c r="H92" s="182">
        <f t="shared" si="37"/>
        <v>0</v>
      </c>
      <c r="I92" s="182">
        <f t="shared" si="38"/>
        <v>0</v>
      </c>
      <c r="J92" s="111">
        <f t="shared" si="39"/>
        <v>0</v>
      </c>
    </row>
    <row r="93" spans="2:15" ht="17.25" customHeight="1" thickBot="1">
      <c r="C93" s="13" t="s">
        <v>170</v>
      </c>
      <c r="D93" s="196">
        <f>'CDM8 Ref'!$R12</f>
        <v>0</v>
      </c>
      <c r="E93" s="196">
        <f>'CDM8 Ref'!$R24</f>
        <v>0</v>
      </c>
      <c r="F93" s="196">
        <f>'CDM8 Ref'!$R36</f>
        <v>0</v>
      </c>
      <c r="G93" s="185">
        <f t="shared" si="36"/>
        <v>0</v>
      </c>
      <c r="H93" s="185">
        <f t="shared" si="37"/>
        <v>0</v>
      </c>
      <c r="I93" s="185">
        <f t="shared" si="38"/>
        <v>0</v>
      </c>
      <c r="J93" s="186">
        <f t="shared" si="39"/>
        <v>0</v>
      </c>
    </row>
    <row r="94" spans="2:15" ht="15.75" thickBot="1"/>
    <row r="95" spans="2:15" ht="15.75" thickBot="1">
      <c r="B95" s="31" t="s">
        <v>36</v>
      </c>
      <c r="C95" s="3"/>
      <c r="D95" s="386"/>
      <c r="E95" s="386"/>
      <c r="F95" s="386"/>
      <c r="G95" s="386"/>
      <c r="H95" s="386"/>
      <c r="I95" s="386"/>
      <c r="J95" s="387"/>
      <c r="O95" s="74"/>
    </row>
    <row r="96" spans="2:15">
      <c r="B96" s="31" t="s">
        <v>70</v>
      </c>
      <c r="C96" s="4"/>
      <c r="D96" s="388"/>
      <c r="E96" s="388"/>
      <c r="F96" s="388"/>
      <c r="G96" s="388"/>
      <c r="H96" s="388"/>
      <c r="I96" s="388"/>
      <c r="J96" s="389"/>
    </row>
    <row r="97" spans="2:15">
      <c r="C97" s="212" t="s">
        <v>5</v>
      </c>
      <c r="D97" s="213" t="s">
        <v>206</v>
      </c>
      <c r="E97" s="213" t="s">
        <v>207</v>
      </c>
      <c r="F97" s="213" t="s">
        <v>208</v>
      </c>
      <c r="G97" s="213" t="s">
        <v>9</v>
      </c>
      <c r="H97" s="213" t="s">
        <v>10</v>
      </c>
      <c r="I97" s="213" t="s">
        <v>11</v>
      </c>
      <c r="J97" s="218" t="s">
        <v>12</v>
      </c>
    </row>
    <row r="98" spans="2:15" s="105" customFormat="1">
      <c r="C98" s="7" t="s">
        <v>171</v>
      </c>
      <c r="D98" s="214">
        <f>'CDM8 Ref'!$AA1</f>
        <v>6980.3310000000001</v>
      </c>
      <c r="E98" s="214">
        <f>'CDM8 Ref'!$AA13</f>
        <v>6984.5630000000001</v>
      </c>
      <c r="F98" s="214">
        <f>'CDM8 Ref'!$AA25</f>
        <v>6983.6090000000004</v>
      </c>
      <c r="G98" s="206">
        <f>AVERAGE(D98:F98)</f>
        <v>6982.8343333333332</v>
      </c>
      <c r="H98" s="206">
        <f>MAX(D98:F98)</f>
        <v>6984.5630000000001</v>
      </c>
      <c r="I98" s="206">
        <f>MIN(D98:F98)</f>
        <v>6980.3310000000001</v>
      </c>
      <c r="J98" s="215">
        <f>_xlfn.STDEV.P(D98:F98)</f>
        <v>1.8124637620898751</v>
      </c>
    </row>
    <row r="99" spans="2:15">
      <c r="C99" s="7" t="s">
        <v>173</v>
      </c>
      <c r="D99" s="214">
        <f>'CDM8 Ref'!$AA2</f>
        <v>6973.5870000000004</v>
      </c>
      <c r="E99" s="214">
        <f>'CDM8 Ref'!$AA14</f>
        <v>6980.9269999999997</v>
      </c>
      <c r="F99" s="214">
        <f>'CDM8 Ref'!$AA26</f>
        <v>6980.8559999999998</v>
      </c>
      <c r="G99" s="206">
        <f t="shared" ref="G99:G109" si="40">AVERAGE(D99:F99)</f>
        <v>6978.456666666666</v>
      </c>
      <c r="H99" s="206">
        <f t="shared" ref="H99:H109" si="41">MAX(D99:F99)</f>
        <v>6980.9269999999997</v>
      </c>
      <c r="I99" s="206">
        <f t="shared" ref="I99:I109" si="42">MIN(D99:F99)</f>
        <v>6973.5870000000004</v>
      </c>
      <c r="J99" s="215">
        <f t="shared" ref="J99:J105" si="43">_xlfn.STDEV.P(D99:F99)</f>
        <v>3.4434963175363711</v>
      </c>
    </row>
    <row r="100" spans="2:15">
      <c r="C100" s="7" t="s">
        <v>175</v>
      </c>
      <c r="D100" s="235">
        <f>'CDM8 Ref'!$AC3</f>
        <v>1220008.8</v>
      </c>
      <c r="E100" s="235">
        <f>'CDM8 Ref'!$AC15</f>
        <v>1220676.8</v>
      </c>
      <c r="F100" s="235">
        <f>'CDM8 Ref'!$AC27</f>
        <v>1220009</v>
      </c>
      <c r="G100" s="206">
        <f t="shared" si="40"/>
        <v>1220231.5333333334</v>
      </c>
      <c r="H100" s="206">
        <f t="shared" si="41"/>
        <v>1220676.8</v>
      </c>
      <c r="I100" s="206">
        <f t="shared" si="42"/>
        <v>1220008.8</v>
      </c>
      <c r="J100" s="215">
        <f t="shared" si="43"/>
        <v>314.85109002335662</v>
      </c>
    </row>
    <row r="101" spans="2:15">
      <c r="C101" s="7" t="s">
        <v>177</v>
      </c>
      <c r="D101" s="107">
        <f>'CDM8 Ref'!$AC4</f>
        <v>23782</v>
      </c>
      <c r="E101" s="107">
        <f>'CDM8 Ref'!$AC16</f>
        <v>23776.9</v>
      </c>
      <c r="F101" s="107">
        <f>'CDM8 Ref'!$AC28</f>
        <v>23795.7</v>
      </c>
      <c r="G101" s="206">
        <f t="shared" si="40"/>
        <v>23784.866666666669</v>
      </c>
      <c r="H101" s="206">
        <f t="shared" si="41"/>
        <v>23795.7</v>
      </c>
      <c r="I101" s="206">
        <f t="shared" si="42"/>
        <v>23776.9</v>
      </c>
      <c r="J101" s="215">
        <f t="shared" si="43"/>
        <v>7.9382337806059278</v>
      </c>
    </row>
    <row r="102" spans="2:15">
      <c r="C102" s="7" t="s">
        <v>172</v>
      </c>
      <c r="D102" s="214">
        <f>'CDM8 Ref'!$AA5</f>
        <v>6656.5910000000003</v>
      </c>
      <c r="E102" s="214">
        <f>'CDM8 Ref'!$AA17</f>
        <v>6655.625</v>
      </c>
      <c r="F102" s="214">
        <f>'CDM8 Ref'!$AA29</f>
        <v>6656.9960000000001</v>
      </c>
      <c r="G102" s="206">
        <f t="shared" si="40"/>
        <v>6656.4039999999995</v>
      </c>
      <c r="H102" s="206">
        <f t="shared" si="41"/>
        <v>6656.9960000000001</v>
      </c>
      <c r="I102" s="206">
        <f t="shared" si="42"/>
        <v>6655.625</v>
      </c>
      <c r="J102" s="215">
        <f t="shared" si="43"/>
        <v>0.57511564054551745</v>
      </c>
    </row>
    <row r="103" spans="2:15">
      <c r="C103" s="7" t="s">
        <v>174</v>
      </c>
      <c r="D103" s="214">
        <f>'CDM8 Ref'!$AA6</f>
        <v>6653.326</v>
      </c>
      <c r="E103" s="214">
        <f>'CDM8 Ref'!$AA18</f>
        <v>6655.7780000000002</v>
      </c>
      <c r="F103" s="214">
        <f>'CDM8 Ref'!$AA30</f>
        <v>6651.1549999999997</v>
      </c>
      <c r="G103" s="206">
        <f t="shared" si="40"/>
        <v>6653.4196666666658</v>
      </c>
      <c r="H103" s="206">
        <f t="shared" si="41"/>
        <v>6655.7780000000002</v>
      </c>
      <c r="I103" s="206">
        <f t="shared" si="42"/>
        <v>6651.1549999999997</v>
      </c>
      <c r="J103" s="215">
        <f t="shared" si="43"/>
        <v>1.8884936383856299</v>
      </c>
    </row>
    <row r="104" spans="2:15">
      <c r="C104" s="7" t="s">
        <v>176</v>
      </c>
      <c r="D104" s="214">
        <f>'CDM8 Ref'!$AC7</f>
        <v>1361084.2</v>
      </c>
      <c r="E104" s="214">
        <f>'CDM8 Ref'!$AC19</f>
        <v>1361456.5</v>
      </c>
      <c r="F104" s="214">
        <f>'CDM8 Ref'!$AC31</f>
        <v>1360244.4</v>
      </c>
      <c r="G104" s="206">
        <f t="shared" si="40"/>
        <v>1360928.3666666667</v>
      </c>
      <c r="H104" s="206">
        <f t="shared" si="41"/>
        <v>1361456.5</v>
      </c>
      <c r="I104" s="206">
        <f t="shared" si="42"/>
        <v>1360244.4</v>
      </c>
      <c r="J104" s="215">
        <f t="shared" si="43"/>
        <v>506.95800176700357</v>
      </c>
    </row>
    <row r="105" spans="2:15">
      <c r="C105" s="7" t="s">
        <v>52</v>
      </c>
      <c r="D105" s="107">
        <f>'CDM8 Ref'!$AC8</f>
        <v>101048.3</v>
      </c>
      <c r="E105" s="107">
        <f>'CDM8 Ref'!$AC20</f>
        <v>101225.60000000001</v>
      </c>
      <c r="F105" s="107">
        <f>'CDM8 Ref'!$AC32</f>
        <v>101192.9</v>
      </c>
      <c r="G105" s="206">
        <f t="shared" si="40"/>
        <v>101155.60000000002</v>
      </c>
      <c r="H105" s="206">
        <f t="shared" si="41"/>
        <v>101225.60000000001</v>
      </c>
      <c r="I105" s="206">
        <f t="shared" si="42"/>
        <v>101048.3</v>
      </c>
      <c r="J105" s="215">
        <f t="shared" si="43"/>
        <v>77.038042550417387</v>
      </c>
    </row>
    <row r="106" spans="2:15">
      <c r="C106" s="7" t="s">
        <v>169</v>
      </c>
      <c r="D106" s="214">
        <f>'CDM8 Ref'!$AA9</f>
        <v>6614.8280000000004</v>
      </c>
      <c r="E106" s="214">
        <f>'CDM8 Ref'!$AA21</f>
        <v>6623.2330000000002</v>
      </c>
      <c r="F106" s="214">
        <f>'CDM8 Ref'!$AA33</f>
        <v>6621.0410000000002</v>
      </c>
      <c r="G106" s="206">
        <f t="shared" si="40"/>
        <v>6619.7006666666675</v>
      </c>
      <c r="H106" s="206">
        <f t="shared" si="41"/>
        <v>6623.2330000000002</v>
      </c>
      <c r="I106" s="206">
        <f t="shared" si="42"/>
        <v>6614.8280000000004</v>
      </c>
      <c r="J106" s="215">
        <f t="shared" ref="J106:J109" si="44">_xlfn.STDEV.P(D106:F106)</f>
        <v>3.5598105130593751</v>
      </c>
    </row>
    <row r="107" spans="2:15">
      <c r="C107" s="7" t="s">
        <v>210</v>
      </c>
      <c r="D107" s="214">
        <f>'CDM8 Ref'!$AA10</f>
        <v>6524.2820000000002</v>
      </c>
      <c r="E107" s="214">
        <f>'CDM8 Ref'!$AA22</f>
        <v>6490.4080000000004</v>
      </c>
      <c r="F107" s="214">
        <f>'CDM8 Ref'!$AA34</f>
        <v>6498.1540000000005</v>
      </c>
      <c r="G107" s="206">
        <f t="shared" si="40"/>
        <v>6504.2813333333334</v>
      </c>
      <c r="H107" s="206">
        <f t="shared" si="41"/>
        <v>6524.2820000000002</v>
      </c>
      <c r="I107" s="206">
        <f t="shared" si="42"/>
        <v>6490.4080000000004</v>
      </c>
      <c r="J107" s="215">
        <f t="shared" si="44"/>
        <v>14.491839757448068</v>
      </c>
    </row>
    <row r="108" spans="2:15">
      <c r="C108" s="7" t="s">
        <v>211</v>
      </c>
      <c r="D108" s="214">
        <f>'CDM8 Ref'!$AC11</f>
        <v>923261</v>
      </c>
      <c r="E108" s="214">
        <f>'CDM8 Ref'!$AC23</f>
        <v>924070.6</v>
      </c>
      <c r="F108" s="214">
        <f>'CDM8 Ref'!$AC35</f>
        <v>923287.1</v>
      </c>
      <c r="G108" s="206">
        <f t="shared" si="40"/>
        <v>923539.56666666677</v>
      </c>
      <c r="H108" s="206">
        <f t="shared" si="41"/>
        <v>924070.6</v>
      </c>
      <c r="I108" s="206">
        <f t="shared" si="42"/>
        <v>923261</v>
      </c>
      <c r="J108" s="215">
        <f t="shared" si="44"/>
        <v>375.64842014249336</v>
      </c>
    </row>
    <row r="109" spans="2:15" ht="15.75" thickBot="1">
      <c r="C109" s="13" t="s">
        <v>212</v>
      </c>
      <c r="D109" s="216">
        <f>'CDM8 Ref'!$AC12</f>
        <v>25682.6</v>
      </c>
      <c r="E109" s="216">
        <f>'CDM8 Ref'!$AC24</f>
        <v>25752</v>
      </c>
      <c r="F109" s="216">
        <f>'CDM8 Ref'!$AC36</f>
        <v>25767.3</v>
      </c>
      <c r="G109" s="206">
        <f t="shared" si="40"/>
        <v>25733.966666666664</v>
      </c>
      <c r="H109" s="206">
        <f t="shared" si="41"/>
        <v>25767.3</v>
      </c>
      <c r="I109" s="206">
        <f t="shared" si="42"/>
        <v>25682.6</v>
      </c>
      <c r="J109" s="217">
        <f t="shared" si="44"/>
        <v>36.854880575335685</v>
      </c>
    </row>
    <row r="110" spans="2:15" ht="15.75" thickBot="1"/>
    <row r="111" spans="2:15" ht="15.75" thickBot="1">
      <c r="B111" s="31" t="s">
        <v>36</v>
      </c>
      <c r="C111" s="3" t="s">
        <v>150</v>
      </c>
      <c r="D111" s="384" t="s">
        <v>104</v>
      </c>
      <c r="E111" s="384"/>
      <c r="F111" s="384"/>
      <c r="G111" s="384"/>
      <c r="H111" s="384"/>
      <c r="I111" s="384"/>
      <c r="J111" s="385"/>
      <c r="O111" s="74"/>
    </row>
    <row r="112" spans="2:15">
      <c r="B112" s="31" t="s">
        <v>71</v>
      </c>
      <c r="C112" s="4" t="s">
        <v>4</v>
      </c>
      <c r="D112" s="382" t="str">
        <f>BICS6_Performance!AF12</f>
        <v>A0009BWD</v>
      </c>
      <c r="E112" s="382"/>
      <c r="F112" s="382"/>
      <c r="G112" s="382"/>
      <c r="H112" s="382"/>
      <c r="I112" s="382"/>
      <c r="J112" s="383"/>
    </row>
    <row r="113" spans="2:15">
      <c r="C113" s="4" t="s">
        <v>5</v>
      </c>
      <c r="D113" s="5" t="s">
        <v>6</v>
      </c>
      <c r="E113" s="5" t="s">
        <v>7</v>
      </c>
      <c r="F113" s="5" t="s">
        <v>8</v>
      </c>
      <c r="G113" s="5" t="s">
        <v>9</v>
      </c>
      <c r="H113" s="5" t="s">
        <v>10</v>
      </c>
      <c r="I113" s="5" t="s">
        <v>11</v>
      </c>
      <c r="J113" s="6" t="s">
        <v>12</v>
      </c>
    </row>
    <row r="114" spans="2:15" s="94" customFormat="1">
      <c r="C114" s="106" t="s">
        <v>171</v>
      </c>
      <c r="D114" s="107">
        <f>'CDM8 Ref'!$AL1</f>
        <v>0</v>
      </c>
      <c r="E114" s="107">
        <f>'CDM8 Ref'!$AL13</f>
        <v>0</v>
      </c>
      <c r="F114" s="107">
        <f>'CDM8 Ref'!$AL25</f>
        <v>0</v>
      </c>
      <c r="G114" s="182">
        <f>AVERAGE(D114:F114)</f>
        <v>0</v>
      </c>
      <c r="H114" s="182">
        <f>MAX(D114:F114)</f>
        <v>0</v>
      </c>
      <c r="I114" s="182">
        <f>MIN(D114:F114)</f>
        <v>0</v>
      </c>
      <c r="J114" s="111">
        <f>_xlfn.STDEV.P(D114:F114)</f>
        <v>0</v>
      </c>
    </row>
    <row r="115" spans="2:15">
      <c r="C115" s="7" t="s">
        <v>173</v>
      </c>
      <c r="D115" s="107">
        <f>'CDM8 Ref'!$AL2</f>
        <v>0</v>
      </c>
      <c r="E115" s="107">
        <f>'CDM8 Ref'!$AL14</f>
        <v>0</v>
      </c>
      <c r="F115" s="107">
        <f>'CDM8 Ref'!$AL26</f>
        <v>0</v>
      </c>
      <c r="G115" s="182">
        <f t="shared" ref="G115:G125" si="45">AVERAGE(D115:F115)</f>
        <v>0</v>
      </c>
      <c r="H115" s="182">
        <f t="shared" ref="H115:H125" si="46">MAX(D115:F115)</f>
        <v>0</v>
      </c>
      <c r="I115" s="182">
        <f t="shared" ref="I115:I125" si="47">MIN(D115:F115)</f>
        <v>0</v>
      </c>
      <c r="J115" s="111">
        <f t="shared" ref="J115:J121" si="48">_xlfn.STDEV.P(D115:F115)</f>
        <v>0</v>
      </c>
    </row>
    <row r="116" spans="2:15">
      <c r="C116" s="7" t="s">
        <v>175</v>
      </c>
      <c r="D116" s="107">
        <f>'CDM8 Ref'!$AN3</f>
        <v>0</v>
      </c>
      <c r="E116" s="107">
        <f>'CDM8 Ref'!$AN15</f>
        <v>0</v>
      </c>
      <c r="F116" s="107">
        <f>'CDM8 Ref'!$AN27</f>
        <v>0</v>
      </c>
      <c r="G116" s="182">
        <f t="shared" si="45"/>
        <v>0</v>
      </c>
      <c r="H116" s="182">
        <f t="shared" si="46"/>
        <v>0</v>
      </c>
      <c r="I116" s="182">
        <f t="shared" si="47"/>
        <v>0</v>
      </c>
      <c r="J116" s="111">
        <f t="shared" si="48"/>
        <v>0</v>
      </c>
    </row>
    <row r="117" spans="2:15">
      <c r="C117" s="7" t="s">
        <v>177</v>
      </c>
      <c r="D117" s="107">
        <f>'CDM8 Ref'!$AN4</f>
        <v>0</v>
      </c>
      <c r="E117" s="107">
        <f>'CDM8 Ref'!$AN16</f>
        <v>0</v>
      </c>
      <c r="F117" s="107">
        <f>'CDM8 Ref'!$AN28</f>
        <v>0</v>
      </c>
      <c r="G117" s="182">
        <f t="shared" si="45"/>
        <v>0</v>
      </c>
      <c r="H117" s="182">
        <f t="shared" si="46"/>
        <v>0</v>
      </c>
      <c r="I117" s="182">
        <f t="shared" si="47"/>
        <v>0</v>
      </c>
      <c r="J117" s="111">
        <f t="shared" si="48"/>
        <v>0</v>
      </c>
    </row>
    <row r="118" spans="2:15">
      <c r="C118" s="7" t="s">
        <v>172</v>
      </c>
      <c r="D118" s="107">
        <f>'CDM8 Ref'!$AL5</f>
        <v>0</v>
      </c>
      <c r="E118" s="107">
        <f>'CDM8 Ref'!$AL17</f>
        <v>0</v>
      </c>
      <c r="F118" s="107">
        <f>'CDM8 Ref'!$AL29</f>
        <v>0</v>
      </c>
      <c r="G118" s="182">
        <f t="shared" si="45"/>
        <v>0</v>
      </c>
      <c r="H118" s="182">
        <f t="shared" si="46"/>
        <v>0</v>
      </c>
      <c r="I118" s="182">
        <f t="shared" si="47"/>
        <v>0</v>
      </c>
      <c r="J118" s="111">
        <f t="shared" si="48"/>
        <v>0</v>
      </c>
    </row>
    <row r="119" spans="2:15">
      <c r="C119" s="7" t="s">
        <v>174</v>
      </c>
      <c r="D119" s="107">
        <f>'CDM8 Ref'!$AL6</f>
        <v>0</v>
      </c>
      <c r="E119" s="107">
        <f>'CDM8 Ref'!$AL18</f>
        <v>0</v>
      </c>
      <c r="F119" s="107">
        <f>'CDM8 Ref'!$AL30</f>
        <v>0</v>
      </c>
      <c r="G119" s="182">
        <f t="shared" si="45"/>
        <v>0</v>
      </c>
      <c r="H119" s="182">
        <f t="shared" si="46"/>
        <v>0</v>
      </c>
      <c r="I119" s="182">
        <f t="shared" si="47"/>
        <v>0</v>
      </c>
      <c r="J119" s="111">
        <f t="shared" si="48"/>
        <v>0</v>
      </c>
    </row>
    <row r="120" spans="2:15">
      <c r="C120" s="7" t="s">
        <v>176</v>
      </c>
      <c r="D120" s="107">
        <f>'CDM8 Ref'!$AN7</f>
        <v>0</v>
      </c>
      <c r="E120" s="107">
        <f>'CDM8 Ref'!$AN19</f>
        <v>0</v>
      </c>
      <c r="F120" s="107">
        <f>'CDM8 Ref'!$AN31</f>
        <v>0</v>
      </c>
      <c r="G120" s="182">
        <f t="shared" si="45"/>
        <v>0</v>
      </c>
      <c r="H120" s="182">
        <f t="shared" si="46"/>
        <v>0</v>
      </c>
      <c r="I120" s="182">
        <f t="shared" si="47"/>
        <v>0</v>
      </c>
      <c r="J120" s="111">
        <f t="shared" si="48"/>
        <v>0</v>
      </c>
    </row>
    <row r="121" spans="2:15">
      <c r="C121" s="7" t="s">
        <v>52</v>
      </c>
      <c r="D121" s="107">
        <f>'CDM8 Ref'!$AN8</f>
        <v>0</v>
      </c>
      <c r="E121" s="107">
        <f>'CDM8 Ref'!$AN20</f>
        <v>0</v>
      </c>
      <c r="F121" s="107">
        <f>'CDM8 Ref'!$AN32</f>
        <v>0</v>
      </c>
      <c r="G121" s="182">
        <f t="shared" si="45"/>
        <v>0</v>
      </c>
      <c r="H121" s="182">
        <f t="shared" si="46"/>
        <v>0</v>
      </c>
      <c r="I121" s="182">
        <f t="shared" si="47"/>
        <v>0</v>
      </c>
      <c r="J121" s="111">
        <f t="shared" si="48"/>
        <v>0</v>
      </c>
    </row>
    <row r="122" spans="2:15">
      <c r="C122" s="7" t="s">
        <v>169</v>
      </c>
      <c r="D122" s="107">
        <f>'CDM8 Ref'!$AL9</f>
        <v>0</v>
      </c>
      <c r="E122" s="107">
        <f>'CDM8 Ref'!$AL21</f>
        <v>0</v>
      </c>
      <c r="F122" s="107">
        <f>'CDM8 Ref'!$AL33</f>
        <v>0</v>
      </c>
      <c r="G122" s="182">
        <f t="shared" si="45"/>
        <v>0</v>
      </c>
      <c r="H122" s="182">
        <f t="shared" si="46"/>
        <v>0</v>
      </c>
      <c r="I122" s="182">
        <f t="shared" si="47"/>
        <v>0</v>
      </c>
      <c r="J122" s="111">
        <f t="shared" ref="J122:J125" si="49">_xlfn.STDEV.P(D122:F122)</f>
        <v>0</v>
      </c>
    </row>
    <row r="123" spans="2:15">
      <c r="C123" s="7" t="s">
        <v>169</v>
      </c>
      <c r="D123" s="107">
        <f>'CDM8 Ref'!$AL10</f>
        <v>0</v>
      </c>
      <c r="E123" s="107">
        <f>'CDM8 Ref'!$AL22</f>
        <v>0</v>
      </c>
      <c r="F123" s="107">
        <f>'CDM8 Ref'!$AL34</f>
        <v>0</v>
      </c>
      <c r="G123" s="182">
        <f t="shared" si="45"/>
        <v>0</v>
      </c>
      <c r="H123" s="182">
        <f t="shared" si="46"/>
        <v>0</v>
      </c>
      <c r="I123" s="182">
        <f t="shared" si="47"/>
        <v>0</v>
      </c>
      <c r="J123" s="111">
        <f t="shared" si="49"/>
        <v>0</v>
      </c>
    </row>
    <row r="124" spans="2:15">
      <c r="C124" s="7" t="s">
        <v>170</v>
      </c>
      <c r="D124" s="107">
        <f>'CDM8 Ref'!$AN11</f>
        <v>0</v>
      </c>
      <c r="E124" s="107">
        <f>'CDM8 Ref'!$AN23</f>
        <v>0</v>
      </c>
      <c r="F124" s="107">
        <f>'CDM8 Ref'!$AN35</f>
        <v>0</v>
      </c>
      <c r="G124" s="182">
        <f t="shared" si="45"/>
        <v>0</v>
      </c>
      <c r="H124" s="182">
        <f t="shared" si="46"/>
        <v>0</v>
      </c>
      <c r="I124" s="182">
        <f t="shared" si="47"/>
        <v>0</v>
      </c>
      <c r="J124" s="111">
        <f t="shared" si="49"/>
        <v>0</v>
      </c>
    </row>
    <row r="125" spans="2:15" ht="15.75" thickBot="1">
      <c r="C125" s="13" t="s">
        <v>170</v>
      </c>
      <c r="D125" s="196">
        <f>'CDM8 Ref'!$AN12</f>
        <v>0</v>
      </c>
      <c r="E125" s="196">
        <f>'CDM8 Ref'!$AN24</f>
        <v>0</v>
      </c>
      <c r="F125" s="196">
        <f>'CDM8 Ref'!$AN36</f>
        <v>0</v>
      </c>
      <c r="G125" s="182">
        <f t="shared" si="45"/>
        <v>0</v>
      </c>
      <c r="H125" s="182">
        <f t="shared" si="46"/>
        <v>0</v>
      </c>
      <c r="I125" s="182">
        <f t="shared" si="47"/>
        <v>0</v>
      </c>
      <c r="J125" s="186">
        <f t="shared" si="49"/>
        <v>0</v>
      </c>
    </row>
    <row r="127" spans="2:15" ht="15.75" hidden="1" thickBot="1">
      <c r="B127" s="31" t="s">
        <v>29</v>
      </c>
      <c r="C127" s="3" t="s">
        <v>58</v>
      </c>
      <c r="D127" s="281" t="s">
        <v>104</v>
      </c>
      <c r="E127" s="282"/>
      <c r="F127" s="282"/>
      <c r="G127" s="282"/>
      <c r="H127" s="282"/>
      <c r="I127" s="282"/>
      <c r="J127" s="283"/>
      <c r="O127" s="74"/>
    </row>
    <row r="128" spans="2:15" hidden="1">
      <c r="B128" s="31"/>
      <c r="C128" s="4" t="s">
        <v>4</v>
      </c>
      <c r="D128" s="278" t="str">
        <f>BICS6_Performance!E12</f>
        <v>A0050AGD</v>
      </c>
      <c r="E128" s="279"/>
      <c r="F128" s="279"/>
      <c r="G128" s="279"/>
      <c r="H128" s="279"/>
      <c r="I128" s="279"/>
      <c r="J128" s="280"/>
    </row>
    <row r="129" spans="2:15" hidden="1">
      <c r="C129" s="4" t="s">
        <v>5</v>
      </c>
      <c r="D129" s="5" t="s">
        <v>6</v>
      </c>
      <c r="E129" s="5" t="s">
        <v>7</v>
      </c>
      <c r="F129" s="5" t="s">
        <v>8</v>
      </c>
      <c r="G129" s="5" t="s">
        <v>9</v>
      </c>
      <c r="H129" s="5" t="s">
        <v>10</v>
      </c>
      <c r="I129" s="5" t="s">
        <v>11</v>
      </c>
      <c r="J129" s="6" t="s">
        <v>12</v>
      </c>
    </row>
    <row r="130" spans="2:15" hidden="1">
      <c r="C130" s="7" t="s">
        <v>45</v>
      </c>
      <c r="D130" s="8"/>
      <c r="E130" s="8"/>
      <c r="F130" s="8"/>
      <c r="G130" s="9" t="e">
        <f>AVERAGE(D130:F130)</f>
        <v>#DIV/0!</v>
      </c>
      <c r="H130" s="10">
        <f>MAX(D130:F130)</f>
        <v>0</v>
      </c>
      <c r="I130" s="8">
        <f>MIN(D130:F130)</f>
        <v>0</v>
      </c>
      <c r="J130" s="11" t="e">
        <f>_xlfn.STDEV.P(D130:F130)</f>
        <v>#DIV/0!</v>
      </c>
    </row>
    <row r="131" spans="2:15" hidden="1">
      <c r="C131" s="7" t="s">
        <v>46</v>
      </c>
      <c r="D131" s="8"/>
      <c r="E131" s="8"/>
      <c r="F131" s="8"/>
      <c r="G131" s="9" t="e">
        <f t="shared" ref="G131:G136" si="50">AVERAGE(D131:F131)</f>
        <v>#DIV/0!</v>
      </c>
      <c r="H131" s="10">
        <f t="shared" ref="H131:H137" si="51">MAX(D131:F131)</f>
        <v>0</v>
      </c>
      <c r="I131" s="8">
        <f t="shared" ref="I131:I137" si="52">MIN(D131:F131)</f>
        <v>0</v>
      </c>
      <c r="J131" s="11" t="e">
        <f t="shared" ref="J131:J137" si="53">_xlfn.STDEV.P(D131:F131)</f>
        <v>#DIV/0!</v>
      </c>
    </row>
    <row r="132" spans="2:15" hidden="1">
      <c r="C132" s="7" t="s">
        <v>93</v>
      </c>
      <c r="D132" s="8"/>
      <c r="E132" s="8"/>
      <c r="F132" s="8"/>
      <c r="G132" s="9" t="e">
        <f t="shared" si="50"/>
        <v>#DIV/0!</v>
      </c>
      <c r="H132" s="10">
        <f t="shared" si="51"/>
        <v>0</v>
      </c>
      <c r="I132" s="8">
        <f t="shared" si="52"/>
        <v>0</v>
      </c>
      <c r="J132" s="11" t="e">
        <f t="shared" si="53"/>
        <v>#DIV/0!</v>
      </c>
    </row>
    <row r="133" spans="2:15" hidden="1">
      <c r="C133" s="7" t="s">
        <v>94</v>
      </c>
      <c r="D133" s="8"/>
      <c r="E133" s="8"/>
      <c r="F133" s="8"/>
      <c r="G133" s="9" t="e">
        <f t="shared" si="50"/>
        <v>#DIV/0!</v>
      </c>
      <c r="H133" s="10">
        <f t="shared" si="51"/>
        <v>0</v>
      </c>
      <c r="I133" s="8">
        <f t="shared" si="52"/>
        <v>0</v>
      </c>
      <c r="J133" s="11" t="e">
        <f t="shared" si="53"/>
        <v>#DIV/0!</v>
      </c>
    </row>
    <row r="134" spans="2:15" hidden="1">
      <c r="C134" s="7" t="s">
        <v>49</v>
      </c>
      <c r="D134" s="8"/>
      <c r="E134" s="8"/>
      <c r="F134" s="8"/>
      <c r="G134" s="9" t="e">
        <f t="shared" si="50"/>
        <v>#DIV/0!</v>
      </c>
      <c r="H134" s="10">
        <f t="shared" si="51"/>
        <v>0</v>
      </c>
      <c r="I134" s="8">
        <f t="shared" si="52"/>
        <v>0</v>
      </c>
      <c r="J134" s="11" t="e">
        <f t="shared" si="53"/>
        <v>#DIV/0!</v>
      </c>
    </row>
    <row r="135" spans="2:15" hidden="1">
      <c r="C135" s="7" t="s">
        <v>50</v>
      </c>
      <c r="D135" s="8"/>
      <c r="E135" s="8"/>
      <c r="F135" s="8"/>
      <c r="G135" s="9" t="e">
        <f t="shared" si="50"/>
        <v>#DIV/0!</v>
      </c>
      <c r="H135" s="10">
        <f t="shared" si="51"/>
        <v>0</v>
      </c>
      <c r="I135" s="8">
        <f t="shared" si="52"/>
        <v>0</v>
      </c>
      <c r="J135" s="11" t="e">
        <f t="shared" si="53"/>
        <v>#DIV/0!</v>
      </c>
    </row>
    <row r="136" spans="2:15" hidden="1">
      <c r="C136" s="7" t="s">
        <v>95</v>
      </c>
      <c r="D136" s="62"/>
      <c r="E136" s="8"/>
      <c r="F136" s="8"/>
      <c r="G136" s="9" t="e">
        <f t="shared" si="50"/>
        <v>#DIV/0!</v>
      </c>
      <c r="H136" s="10">
        <f t="shared" si="51"/>
        <v>0</v>
      </c>
      <c r="I136" s="8">
        <f t="shared" si="52"/>
        <v>0</v>
      </c>
      <c r="J136" s="11" t="e">
        <f t="shared" si="53"/>
        <v>#DIV/0!</v>
      </c>
    </row>
    <row r="137" spans="2:15" ht="15.75" hidden="1" thickBot="1">
      <c r="C137" s="13" t="s">
        <v>96</v>
      </c>
      <c r="D137" s="14"/>
      <c r="E137" s="14"/>
      <c r="F137" s="14"/>
      <c r="G137" s="50" t="e">
        <f>AVERAGE(D137:F137)</f>
        <v>#DIV/0!</v>
      </c>
      <c r="H137" s="16">
        <f t="shared" si="51"/>
        <v>0</v>
      </c>
      <c r="I137" s="14">
        <f t="shared" si="52"/>
        <v>0</v>
      </c>
      <c r="J137" s="17" t="e">
        <f t="shared" si="53"/>
        <v>#DIV/0!</v>
      </c>
    </row>
    <row r="138" spans="2:15" hidden="1"/>
    <row r="139" spans="2:15" ht="15.75" hidden="1" thickBot="1"/>
    <row r="140" spans="2:15" ht="15.75" hidden="1" thickBot="1">
      <c r="B140" s="31" t="s">
        <v>29</v>
      </c>
      <c r="C140" s="3" t="s">
        <v>58</v>
      </c>
      <c r="D140" s="281" t="s">
        <v>104</v>
      </c>
      <c r="E140" s="282"/>
      <c r="F140" s="282"/>
      <c r="G140" s="282"/>
      <c r="H140" s="282"/>
      <c r="I140" s="282"/>
      <c r="J140" s="283"/>
      <c r="O140" s="74"/>
    </row>
    <row r="141" spans="2:15" hidden="1">
      <c r="B141" s="31" t="s">
        <v>103</v>
      </c>
      <c r="C141" s="4" t="s">
        <v>4</v>
      </c>
      <c r="D141" s="278" t="str">
        <f>BICS6_Performance!H12</f>
        <v>A0050AGS</v>
      </c>
      <c r="E141" s="279"/>
      <c r="F141" s="279"/>
      <c r="G141" s="279"/>
      <c r="H141" s="279"/>
      <c r="I141" s="279"/>
      <c r="J141" s="280"/>
    </row>
    <row r="142" spans="2:15" hidden="1">
      <c r="C142" s="4" t="s">
        <v>5</v>
      </c>
      <c r="D142" s="5" t="s">
        <v>6</v>
      </c>
      <c r="E142" s="5" t="s">
        <v>7</v>
      </c>
      <c r="F142" s="5" t="s">
        <v>8</v>
      </c>
      <c r="G142" s="5" t="s">
        <v>9</v>
      </c>
      <c r="H142" s="5" t="s">
        <v>10</v>
      </c>
      <c r="I142" s="5" t="s">
        <v>11</v>
      </c>
      <c r="J142" s="6" t="s">
        <v>12</v>
      </c>
    </row>
    <row r="143" spans="2:15" hidden="1">
      <c r="C143" s="7" t="s">
        <v>45</v>
      </c>
      <c r="D143" s="8"/>
      <c r="E143" s="8"/>
      <c r="F143" s="8"/>
      <c r="G143" s="9" t="e">
        <f>AVERAGE(D143:F143)</f>
        <v>#DIV/0!</v>
      </c>
      <c r="H143" s="10">
        <f>MAX(D143:F143)</f>
        <v>0</v>
      </c>
      <c r="I143" s="8">
        <f>MIN(D143:F143)</f>
        <v>0</v>
      </c>
      <c r="J143" s="11" t="e">
        <f>_xlfn.STDEV.P(D143:F143)</f>
        <v>#DIV/0!</v>
      </c>
    </row>
    <row r="144" spans="2:15" hidden="1">
      <c r="C144" s="7" t="s">
        <v>46</v>
      </c>
      <c r="D144" s="8"/>
      <c r="E144" s="8"/>
      <c r="F144" s="8"/>
      <c r="G144" s="9" t="e">
        <f t="shared" ref="G144:G149" si="54">AVERAGE(D144:F144)</f>
        <v>#DIV/0!</v>
      </c>
      <c r="H144" s="10">
        <f t="shared" ref="H144:H150" si="55">MAX(D144:F144)</f>
        <v>0</v>
      </c>
      <c r="I144" s="8">
        <f t="shared" ref="I144:I150" si="56">MIN(D144:F144)</f>
        <v>0</v>
      </c>
      <c r="J144" s="11" t="e">
        <f t="shared" ref="J144:J150" si="57">_xlfn.STDEV.P(D144:F144)</f>
        <v>#DIV/0!</v>
      </c>
    </row>
    <row r="145" spans="2:15" hidden="1">
      <c r="C145" s="7" t="s">
        <v>93</v>
      </c>
      <c r="D145" s="8"/>
      <c r="E145" s="8"/>
      <c r="F145" s="8"/>
      <c r="G145" s="9" t="e">
        <f t="shared" si="54"/>
        <v>#DIV/0!</v>
      </c>
      <c r="H145" s="10">
        <f t="shared" si="55"/>
        <v>0</v>
      </c>
      <c r="I145" s="8">
        <f t="shared" si="56"/>
        <v>0</v>
      </c>
      <c r="J145" s="11" t="e">
        <f t="shared" si="57"/>
        <v>#DIV/0!</v>
      </c>
    </row>
    <row r="146" spans="2:15" hidden="1">
      <c r="C146" s="7" t="s">
        <v>94</v>
      </c>
      <c r="D146" s="8"/>
      <c r="E146" s="8"/>
      <c r="F146" s="8"/>
      <c r="G146" s="9" t="e">
        <f t="shared" si="54"/>
        <v>#DIV/0!</v>
      </c>
      <c r="H146" s="10">
        <f t="shared" si="55"/>
        <v>0</v>
      </c>
      <c r="I146" s="8">
        <f t="shared" si="56"/>
        <v>0</v>
      </c>
      <c r="J146" s="11" t="e">
        <f t="shared" si="57"/>
        <v>#DIV/0!</v>
      </c>
    </row>
    <row r="147" spans="2:15" hidden="1">
      <c r="C147" s="7" t="s">
        <v>49</v>
      </c>
      <c r="D147" s="8"/>
      <c r="E147" s="8"/>
      <c r="F147" s="8"/>
      <c r="G147" s="9" t="e">
        <f t="shared" si="54"/>
        <v>#DIV/0!</v>
      </c>
      <c r="H147" s="10">
        <f t="shared" si="55"/>
        <v>0</v>
      </c>
      <c r="I147" s="8">
        <f t="shared" si="56"/>
        <v>0</v>
      </c>
      <c r="J147" s="11" t="e">
        <f t="shared" si="57"/>
        <v>#DIV/0!</v>
      </c>
    </row>
    <row r="148" spans="2:15" hidden="1">
      <c r="C148" s="7" t="s">
        <v>50</v>
      </c>
      <c r="D148" s="8"/>
      <c r="E148" s="8"/>
      <c r="F148" s="8"/>
      <c r="G148" s="9" t="e">
        <f t="shared" si="54"/>
        <v>#DIV/0!</v>
      </c>
      <c r="H148" s="10">
        <f t="shared" si="55"/>
        <v>0</v>
      </c>
      <c r="I148" s="8">
        <f t="shared" si="56"/>
        <v>0</v>
      </c>
      <c r="J148" s="11" t="e">
        <f t="shared" si="57"/>
        <v>#DIV/0!</v>
      </c>
    </row>
    <row r="149" spans="2:15" hidden="1">
      <c r="C149" s="7" t="s">
        <v>95</v>
      </c>
      <c r="D149" s="62"/>
      <c r="E149" s="8"/>
      <c r="F149" s="8"/>
      <c r="G149" s="9" t="e">
        <f t="shared" si="54"/>
        <v>#DIV/0!</v>
      </c>
      <c r="H149" s="10">
        <f t="shared" si="55"/>
        <v>0</v>
      </c>
      <c r="I149" s="8">
        <f t="shared" si="56"/>
        <v>0</v>
      </c>
      <c r="J149" s="11" t="e">
        <f t="shared" si="57"/>
        <v>#DIV/0!</v>
      </c>
    </row>
    <row r="150" spans="2:15" ht="15.75" hidden="1" thickBot="1">
      <c r="C150" s="13" t="s">
        <v>96</v>
      </c>
      <c r="D150" s="14"/>
      <c r="E150" s="14"/>
      <c r="F150" s="14"/>
      <c r="G150" s="50" t="e">
        <f>AVERAGE(D150:F150)</f>
        <v>#DIV/0!</v>
      </c>
      <c r="H150" s="16">
        <f t="shared" si="55"/>
        <v>0</v>
      </c>
      <c r="I150" s="14">
        <f t="shared" si="56"/>
        <v>0</v>
      </c>
      <c r="J150" s="17" t="e">
        <f t="shared" si="57"/>
        <v>#DIV/0!</v>
      </c>
    </row>
    <row r="151" spans="2:15" ht="15.75" hidden="1" thickBot="1"/>
    <row r="152" spans="2:15" ht="15.75" hidden="1" thickBot="1">
      <c r="B152" s="31" t="s">
        <v>115</v>
      </c>
      <c r="C152" s="3" t="s">
        <v>68</v>
      </c>
      <c r="D152" s="281" t="s">
        <v>104</v>
      </c>
      <c r="E152" s="282"/>
      <c r="F152" s="282"/>
      <c r="G152" s="282"/>
      <c r="H152" s="282"/>
      <c r="I152" s="282"/>
      <c r="J152" s="283"/>
      <c r="O152" s="74"/>
    </row>
    <row r="153" spans="2:15" hidden="1">
      <c r="B153" s="31"/>
      <c r="C153" s="4" t="s">
        <v>4</v>
      </c>
      <c r="D153" s="278" t="str">
        <f>BICS6_Performance!AI12</f>
        <v>A0050ALD</v>
      </c>
      <c r="E153" s="279"/>
      <c r="F153" s="279"/>
      <c r="G153" s="279"/>
      <c r="H153" s="279"/>
      <c r="I153" s="279"/>
      <c r="J153" s="280"/>
    </row>
    <row r="154" spans="2:15" hidden="1">
      <c r="C154" s="4" t="s">
        <v>5</v>
      </c>
      <c r="D154" s="5" t="s">
        <v>6</v>
      </c>
      <c r="E154" s="5" t="s">
        <v>7</v>
      </c>
      <c r="F154" s="5" t="s">
        <v>8</v>
      </c>
      <c r="G154" s="5" t="s">
        <v>9</v>
      </c>
      <c r="H154" s="5" t="s">
        <v>10</v>
      </c>
      <c r="I154" s="5" t="s">
        <v>11</v>
      </c>
      <c r="J154" s="6" t="s">
        <v>12</v>
      </c>
    </row>
    <row r="155" spans="2:15" hidden="1">
      <c r="C155" s="7" t="s">
        <v>45</v>
      </c>
      <c r="D155" s="8"/>
      <c r="E155" s="8"/>
      <c r="F155" s="8"/>
      <c r="G155" s="9" t="e">
        <f t="shared" ref="G155:G162" si="58">AVERAGE(D155:F155)</f>
        <v>#DIV/0!</v>
      </c>
      <c r="H155" s="10">
        <f t="shared" ref="H155:H162" si="59">MAX(D155:F155)</f>
        <v>0</v>
      </c>
      <c r="I155" s="8">
        <f t="shared" ref="I155:I162" si="60">MIN(D155:F155)</f>
        <v>0</v>
      </c>
      <c r="J155" s="11" t="e">
        <f t="shared" ref="J155:J162" si="61">_xlfn.STDEV.P(D155:F155)</f>
        <v>#DIV/0!</v>
      </c>
    </row>
    <row r="156" spans="2:15" hidden="1">
      <c r="C156" s="7" t="s">
        <v>46</v>
      </c>
      <c r="D156" s="8"/>
      <c r="E156" s="8"/>
      <c r="F156" s="8"/>
      <c r="G156" s="9" t="e">
        <f t="shared" si="58"/>
        <v>#DIV/0!</v>
      </c>
      <c r="H156" s="10">
        <f t="shared" si="59"/>
        <v>0</v>
      </c>
      <c r="I156" s="8">
        <f t="shared" si="60"/>
        <v>0</v>
      </c>
      <c r="J156" s="11" t="e">
        <f t="shared" si="61"/>
        <v>#DIV/0!</v>
      </c>
    </row>
    <row r="157" spans="2:15" hidden="1">
      <c r="C157" s="7" t="s">
        <v>64</v>
      </c>
      <c r="D157" s="8"/>
      <c r="E157" s="8"/>
      <c r="F157" s="8"/>
      <c r="G157" s="9" t="e">
        <f t="shared" si="58"/>
        <v>#DIV/0!</v>
      </c>
      <c r="H157" s="10">
        <f t="shared" si="59"/>
        <v>0</v>
      </c>
      <c r="I157" s="8">
        <f t="shared" si="60"/>
        <v>0</v>
      </c>
      <c r="J157" s="11" t="e">
        <f t="shared" si="61"/>
        <v>#DIV/0!</v>
      </c>
    </row>
    <row r="158" spans="2:15" hidden="1">
      <c r="C158" s="7" t="s">
        <v>63</v>
      </c>
      <c r="D158" s="8"/>
      <c r="E158" s="8"/>
      <c r="F158" s="8"/>
      <c r="G158" s="9" t="e">
        <f t="shared" si="58"/>
        <v>#DIV/0!</v>
      </c>
      <c r="H158" s="10">
        <f t="shared" si="59"/>
        <v>0</v>
      </c>
      <c r="I158" s="8">
        <f t="shared" si="60"/>
        <v>0</v>
      </c>
      <c r="J158" s="11" t="e">
        <f t="shared" si="61"/>
        <v>#DIV/0!</v>
      </c>
    </row>
    <row r="159" spans="2:15" hidden="1">
      <c r="C159" s="7" t="s">
        <v>49</v>
      </c>
      <c r="D159" s="8"/>
      <c r="E159" s="8"/>
      <c r="F159" s="8"/>
      <c r="G159" s="9" t="e">
        <f t="shared" si="58"/>
        <v>#DIV/0!</v>
      </c>
      <c r="H159" s="10">
        <f t="shared" si="59"/>
        <v>0</v>
      </c>
      <c r="I159" s="8">
        <f t="shared" si="60"/>
        <v>0</v>
      </c>
      <c r="J159" s="11" t="e">
        <f t="shared" si="61"/>
        <v>#DIV/0!</v>
      </c>
    </row>
    <row r="160" spans="2:15" hidden="1">
      <c r="C160" s="7" t="s">
        <v>105</v>
      </c>
      <c r="D160" s="8"/>
      <c r="E160" s="8"/>
      <c r="F160" s="8"/>
      <c r="G160" s="9" t="e">
        <f t="shared" si="58"/>
        <v>#DIV/0!</v>
      </c>
      <c r="H160" s="10">
        <f t="shared" si="59"/>
        <v>0</v>
      </c>
      <c r="I160" s="8">
        <f t="shared" si="60"/>
        <v>0</v>
      </c>
      <c r="J160" s="11" t="e">
        <f t="shared" si="61"/>
        <v>#DIV/0!</v>
      </c>
    </row>
    <row r="161" spans="2:15" hidden="1">
      <c r="C161" s="7" t="s">
        <v>95</v>
      </c>
      <c r="D161" s="62"/>
      <c r="E161" s="8"/>
      <c r="F161" s="8"/>
      <c r="G161" s="9" t="e">
        <f t="shared" si="58"/>
        <v>#DIV/0!</v>
      </c>
      <c r="H161" s="10">
        <f t="shared" si="59"/>
        <v>0</v>
      </c>
      <c r="I161" s="8">
        <f t="shared" si="60"/>
        <v>0</v>
      </c>
      <c r="J161" s="11" t="e">
        <f t="shared" si="61"/>
        <v>#DIV/0!</v>
      </c>
    </row>
    <row r="162" spans="2:15" ht="15.75" hidden="1" thickBot="1">
      <c r="C162" s="13" t="s">
        <v>66</v>
      </c>
      <c r="D162" s="14"/>
      <c r="E162" s="14"/>
      <c r="F162" s="14"/>
      <c r="G162" s="50" t="e">
        <f t="shared" si="58"/>
        <v>#DIV/0!</v>
      </c>
      <c r="H162" s="16">
        <f t="shared" si="59"/>
        <v>0</v>
      </c>
      <c r="I162" s="14">
        <f t="shared" si="60"/>
        <v>0</v>
      </c>
      <c r="J162" s="17" t="e">
        <f t="shared" si="61"/>
        <v>#DIV/0!</v>
      </c>
    </row>
    <row r="163" spans="2:15" ht="15.75" hidden="1" thickBot="1"/>
    <row r="164" spans="2:15" ht="15.75" hidden="1" thickBot="1">
      <c r="B164" s="31" t="s">
        <v>69</v>
      </c>
      <c r="C164" s="3" t="s">
        <v>68</v>
      </c>
      <c r="D164" s="281" t="s">
        <v>104</v>
      </c>
      <c r="E164" s="282"/>
      <c r="F164" s="282"/>
      <c r="G164" s="282"/>
      <c r="H164" s="282"/>
      <c r="I164" s="282"/>
      <c r="J164" s="283"/>
      <c r="O164" s="74"/>
    </row>
    <row r="165" spans="2:15" hidden="1">
      <c r="B165" s="31" t="s">
        <v>71</v>
      </c>
      <c r="C165" s="4" t="s">
        <v>4</v>
      </c>
      <c r="D165" s="278" t="str">
        <f>BICS6_Performance!AL12</f>
        <v>A0050ALS</v>
      </c>
      <c r="E165" s="279"/>
      <c r="F165" s="279"/>
      <c r="G165" s="279"/>
      <c r="H165" s="279"/>
      <c r="I165" s="279"/>
      <c r="J165" s="280"/>
    </row>
    <row r="166" spans="2:15" hidden="1">
      <c r="C166" s="4" t="s">
        <v>5</v>
      </c>
      <c r="D166" s="5" t="s">
        <v>6</v>
      </c>
      <c r="E166" s="5" t="s">
        <v>7</v>
      </c>
      <c r="F166" s="5" t="s">
        <v>8</v>
      </c>
      <c r="G166" s="5" t="s">
        <v>9</v>
      </c>
      <c r="H166" s="5" t="s">
        <v>10</v>
      </c>
      <c r="I166" s="5" t="s">
        <v>11</v>
      </c>
      <c r="J166" s="6" t="s">
        <v>12</v>
      </c>
    </row>
    <row r="167" spans="2:15" hidden="1">
      <c r="C167" s="7" t="s">
        <v>45</v>
      </c>
      <c r="D167" s="8"/>
      <c r="E167" s="8"/>
      <c r="F167" s="8"/>
      <c r="G167" s="9" t="e">
        <f>AVERAGE(D167:F167)</f>
        <v>#DIV/0!</v>
      </c>
      <c r="H167" s="10">
        <f>MAX(D167:F167)</f>
        <v>0</v>
      </c>
      <c r="I167" s="8">
        <f>MIN(D167:F167)</f>
        <v>0</v>
      </c>
      <c r="J167" s="11" t="e">
        <f>_xlfn.STDEV.P(D167:F167)</f>
        <v>#DIV/0!</v>
      </c>
    </row>
    <row r="168" spans="2:15" hidden="1">
      <c r="C168" s="7" t="s">
        <v>46</v>
      </c>
      <c r="D168" s="8"/>
      <c r="E168" s="8"/>
      <c r="F168" s="8"/>
      <c r="G168" s="9" t="e">
        <f t="shared" ref="G168:G173" si="62">AVERAGE(D168:F168)</f>
        <v>#DIV/0!</v>
      </c>
      <c r="H168" s="10">
        <f t="shared" ref="H168:H174" si="63">MAX(D168:F168)</f>
        <v>0</v>
      </c>
      <c r="I168" s="8">
        <f t="shared" ref="I168:I174" si="64">MIN(D168:F168)</f>
        <v>0</v>
      </c>
      <c r="J168" s="11" t="e">
        <f t="shared" ref="J168:J174" si="65">_xlfn.STDEV.P(D168:F168)</f>
        <v>#DIV/0!</v>
      </c>
    </row>
    <row r="169" spans="2:15" hidden="1">
      <c r="C169" s="7" t="s">
        <v>64</v>
      </c>
      <c r="D169" s="8"/>
      <c r="E169" s="8"/>
      <c r="F169" s="8"/>
      <c r="G169" s="9" t="e">
        <f t="shared" si="62"/>
        <v>#DIV/0!</v>
      </c>
      <c r="H169" s="10">
        <f t="shared" si="63"/>
        <v>0</v>
      </c>
      <c r="I169" s="8">
        <f t="shared" si="64"/>
        <v>0</v>
      </c>
      <c r="J169" s="11" t="e">
        <f t="shared" si="65"/>
        <v>#DIV/0!</v>
      </c>
    </row>
    <row r="170" spans="2:15" hidden="1">
      <c r="C170" s="7" t="s">
        <v>63</v>
      </c>
      <c r="D170" s="8"/>
      <c r="E170" s="8"/>
      <c r="F170" s="8"/>
      <c r="G170" s="9" t="e">
        <f t="shared" si="62"/>
        <v>#DIV/0!</v>
      </c>
      <c r="H170" s="10">
        <f t="shared" si="63"/>
        <v>0</v>
      </c>
      <c r="I170" s="8">
        <f t="shared" si="64"/>
        <v>0</v>
      </c>
      <c r="J170" s="11" t="e">
        <f t="shared" si="65"/>
        <v>#DIV/0!</v>
      </c>
    </row>
    <row r="171" spans="2:15" hidden="1">
      <c r="C171" s="7" t="s">
        <v>49</v>
      </c>
      <c r="D171" s="8"/>
      <c r="E171" s="8"/>
      <c r="F171" s="8"/>
      <c r="G171" s="9" t="e">
        <f t="shared" si="62"/>
        <v>#DIV/0!</v>
      </c>
      <c r="H171" s="10">
        <f t="shared" si="63"/>
        <v>0</v>
      </c>
      <c r="I171" s="8">
        <f t="shared" si="64"/>
        <v>0</v>
      </c>
      <c r="J171" s="11" t="e">
        <f t="shared" si="65"/>
        <v>#DIV/0!</v>
      </c>
    </row>
    <row r="172" spans="2:15" hidden="1">
      <c r="C172" s="7" t="s">
        <v>50</v>
      </c>
      <c r="D172" s="8"/>
      <c r="E172" s="8"/>
      <c r="F172" s="8"/>
      <c r="G172" s="9" t="e">
        <f t="shared" si="62"/>
        <v>#DIV/0!</v>
      </c>
      <c r="H172" s="10">
        <f t="shared" si="63"/>
        <v>0</v>
      </c>
      <c r="I172" s="8">
        <f t="shared" si="64"/>
        <v>0</v>
      </c>
      <c r="J172" s="11" t="e">
        <f t="shared" si="65"/>
        <v>#DIV/0!</v>
      </c>
    </row>
    <row r="173" spans="2:15" hidden="1">
      <c r="C173" s="7" t="s">
        <v>95</v>
      </c>
      <c r="D173" s="62"/>
      <c r="E173" s="8"/>
      <c r="F173" s="8"/>
      <c r="G173" s="9" t="e">
        <f t="shared" si="62"/>
        <v>#DIV/0!</v>
      </c>
      <c r="H173" s="10">
        <f t="shared" si="63"/>
        <v>0</v>
      </c>
      <c r="I173" s="8">
        <f t="shared" si="64"/>
        <v>0</v>
      </c>
      <c r="J173" s="11" t="e">
        <f t="shared" si="65"/>
        <v>#DIV/0!</v>
      </c>
    </row>
    <row r="174" spans="2:15" ht="15.75" hidden="1" thickBot="1">
      <c r="C174" s="13" t="s">
        <v>66</v>
      </c>
      <c r="D174" s="14"/>
      <c r="E174" s="14"/>
      <c r="F174" s="14"/>
      <c r="G174" s="50" t="e">
        <f>AVERAGE(D174:F174)</f>
        <v>#DIV/0!</v>
      </c>
      <c r="H174" s="16">
        <f t="shared" si="63"/>
        <v>0</v>
      </c>
      <c r="I174" s="14">
        <f t="shared" si="64"/>
        <v>0</v>
      </c>
      <c r="J174" s="17" t="e">
        <f t="shared" si="65"/>
        <v>#DIV/0!</v>
      </c>
    </row>
    <row r="175" spans="2:15" ht="15.75" hidden="1" thickBot="1"/>
    <row r="176" spans="2:15" ht="15.75" hidden="1" thickBot="1">
      <c r="B176" s="31" t="s">
        <v>116</v>
      </c>
      <c r="C176" s="3" t="s">
        <v>58</v>
      </c>
      <c r="D176" s="281" t="s">
        <v>104</v>
      </c>
      <c r="E176" s="282"/>
      <c r="F176" s="282"/>
      <c r="G176" s="282"/>
      <c r="H176" s="282"/>
      <c r="I176" s="282"/>
      <c r="J176" s="283"/>
      <c r="O176" s="74"/>
    </row>
    <row r="177" spans="2:15" hidden="1">
      <c r="B177" s="31"/>
      <c r="C177" s="4" t="s">
        <v>4</v>
      </c>
      <c r="D177" s="278" t="str">
        <f>BICS6_Performance!AO12</f>
        <v>A0050ADD</v>
      </c>
      <c r="E177" s="279"/>
      <c r="F177" s="279"/>
      <c r="G177" s="279"/>
      <c r="H177" s="279"/>
      <c r="I177" s="279"/>
      <c r="J177" s="280"/>
    </row>
    <row r="178" spans="2:15" hidden="1">
      <c r="C178" s="4" t="s">
        <v>5</v>
      </c>
      <c r="D178" s="5" t="s">
        <v>6</v>
      </c>
      <c r="E178" s="5" t="s">
        <v>7</v>
      </c>
      <c r="F178" s="5" t="s">
        <v>8</v>
      </c>
      <c r="G178" s="5" t="s">
        <v>9</v>
      </c>
      <c r="H178" s="5" t="s">
        <v>10</v>
      </c>
      <c r="I178" s="5" t="s">
        <v>11</v>
      </c>
      <c r="J178" s="6" t="s">
        <v>12</v>
      </c>
    </row>
    <row r="179" spans="2:15" hidden="1">
      <c r="C179" s="7" t="s">
        <v>45</v>
      </c>
      <c r="D179" s="8"/>
      <c r="E179" s="8"/>
      <c r="F179" s="8"/>
      <c r="G179" s="9" t="e">
        <f>AVERAGE(D179:F179)</f>
        <v>#DIV/0!</v>
      </c>
      <c r="H179" s="10">
        <f>MAX(D179:F179)</f>
        <v>0</v>
      </c>
      <c r="I179" s="8">
        <f>MIN(D179:F179)</f>
        <v>0</v>
      </c>
      <c r="J179" s="11" t="e">
        <f>_xlfn.STDEV.P(D179:F179)</f>
        <v>#DIV/0!</v>
      </c>
    </row>
    <row r="180" spans="2:15" hidden="1">
      <c r="C180" s="7" t="s">
        <v>46</v>
      </c>
      <c r="D180" s="8"/>
      <c r="E180" s="8"/>
      <c r="F180" s="8"/>
      <c r="G180" s="9" t="e">
        <f t="shared" ref="G180:G185" si="66">AVERAGE(D180:F180)</f>
        <v>#DIV/0!</v>
      </c>
      <c r="H180" s="10">
        <f t="shared" ref="H180:H186" si="67">MAX(D180:F180)</f>
        <v>0</v>
      </c>
      <c r="I180" s="8">
        <f t="shared" ref="I180:I186" si="68">MIN(D180:F180)</f>
        <v>0</v>
      </c>
      <c r="J180" s="11" t="e">
        <f t="shared" ref="J180:J186" si="69">_xlfn.STDEV.P(D180:F180)</f>
        <v>#DIV/0!</v>
      </c>
    </row>
    <row r="181" spans="2:15" hidden="1">
      <c r="C181" s="7" t="s">
        <v>64</v>
      </c>
      <c r="D181" s="8"/>
      <c r="E181" s="8"/>
      <c r="F181" s="8"/>
      <c r="G181" s="9" t="e">
        <f t="shared" si="66"/>
        <v>#DIV/0!</v>
      </c>
      <c r="H181" s="10">
        <f t="shared" si="67"/>
        <v>0</v>
      </c>
      <c r="I181" s="8">
        <f t="shared" si="68"/>
        <v>0</v>
      </c>
      <c r="J181" s="11" t="e">
        <f t="shared" si="69"/>
        <v>#DIV/0!</v>
      </c>
    </row>
    <row r="182" spans="2:15" hidden="1">
      <c r="C182" s="7" t="s">
        <v>63</v>
      </c>
      <c r="D182" s="8"/>
      <c r="E182" s="8"/>
      <c r="F182" s="8"/>
      <c r="G182" s="9" t="e">
        <f t="shared" si="66"/>
        <v>#DIV/0!</v>
      </c>
      <c r="H182" s="10">
        <f t="shared" si="67"/>
        <v>0</v>
      </c>
      <c r="I182" s="8">
        <f t="shared" si="68"/>
        <v>0</v>
      </c>
      <c r="J182" s="11" t="e">
        <f t="shared" si="69"/>
        <v>#DIV/0!</v>
      </c>
    </row>
    <row r="183" spans="2:15" hidden="1">
      <c r="C183" s="7" t="s">
        <v>49</v>
      </c>
      <c r="D183" s="8"/>
      <c r="E183" s="8"/>
      <c r="F183" s="8"/>
      <c r="G183" s="9" t="e">
        <f t="shared" si="66"/>
        <v>#DIV/0!</v>
      </c>
      <c r="H183" s="10">
        <f t="shared" si="67"/>
        <v>0</v>
      </c>
      <c r="I183" s="8">
        <f t="shared" si="68"/>
        <v>0</v>
      </c>
      <c r="J183" s="11" t="e">
        <f t="shared" si="69"/>
        <v>#DIV/0!</v>
      </c>
    </row>
    <row r="184" spans="2:15" hidden="1">
      <c r="C184" s="7" t="s">
        <v>50</v>
      </c>
      <c r="D184" s="8"/>
      <c r="E184" s="8"/>
      <c r="F184" s="8"/>
      <c r="G184" s="9" t="e">
        <f t="shared" si="66"/>
        <v>#DIV/0!</v>
      </c>
      <c r="H184" s="10">
        <f t="shared" si="67"/>
        <v>0</v>
      </c>
      <c r="I184" s="8">
        <f t="shared" si="68"/>
        <v>0</v>
      </c>
      <c r="J184" s="11" t="e">
        <f t="shared" si="69"/>
        <v>#DIV/0!</v>
      </c>
    </row>
    <row r="185" spans="2:15" hidden="1">
      <c r="C185" s="7" t="s">
        <v>95</v>
      </c>
      <c r="D185" s="62"/>
      <c r="E185" s="8"/>
      <c r="F185" s="8"/>
      <c r="G185" s="9" t="e">
        <f t="shared" si="66"/>
        <v>#DIV/0!</v>
      </c>
      <c r="H185" s="10">
        <f t="shared" si="67"/>
        <v>0</v>
      </c>
      <c r="I185" s="8">
        <f t="shared" si="68"/>
        <v>0</v>
      </c>
      <c r="J185" s="11" t="e">
        <f t="shared" si="69"/>
        <v>#DIV/0!</v>
      </c>
    </row>
    <row r="186" spans="2:15" ht="15.75" hidden="1" thickBot="1">
      <c r="C186" s="13" t="s">
        <v>66</v>
      </c>
      <c r="D186" s="14"/>
      <c r="E186" s="14"/>
      <c r="F186" s="14"/>
      <c r="G186" s="50" t="e">
        <f>AVERAGE(D186:F186)</f>
        <v>#DIV/0!</v>
      </c>
      <c r="H186" s="16">
        <f t="shared" si="67"/>
        <v>0</v>
      </c>
      <c r="I186" s="14">
        <f t="shared" si="68"/>
        <v>0</v>
      </c>
      <c r="J186" s="17" t="e">
        <f t="shared" si="69"/>
        <v>#DIV/0!</v>
      </c>
    </row>
    <row r="187" spans="2:15" hidden="1"/>
    <row r="188" spans="2:15" ht="15.75" hidden="1" thickBot="1"/>
    <row r="189" spans="2:15" ht="15.75" hidden="1" thickBot="1">
      <c r="B189" s="31" t="s">
        <v>116</v>
      </c>
      <c r="C189" s="3" t="s">
        <v>58</v>
      </c>
      <c r="D189" s="281" t="s">
        <v>128</v>
      </c>
      <c r="E189" s="282"/>
      <c r="F189" s="282"/>
      <c r="G189" s="282"/>
      <c r="H189" s="282"/>
      <c r="I189" s="282"/>
      <c r="J189" s="283"/>
      <c r="O189" s="74"/>
    </row>
    <row r="190" spans="2:15" hidden="1">
      <c r="B190" s="31" t="s">
        <v>117</v>
      </c>
      <c r="C190" s="4" t="s">
        <v>4</v>
      </c>
      <c r="D190" s="278" t="str">
        <f>BICS6_Performance!AR12</f>
        <v>A0050ADS</v>
      </c>
      <c r="E190" s="279"/>
      <c r="F190" s="279"/>
      <c r="G190" s="279"/>
      <c r="H190" s="279"/>
      <c r="I190" s="279"/>
      <c r="J190" s="280"/>
    </row>
    <row r="191" spans="2:15" hidden="1">
      <c r="C191" s="4" t="s">
        <v>5</v>
      </c>
      <c r="D191" s="5"/>
      <c r="E191" s="5"/>
      <c r="F191" s="5"/>
      <c r="G191" s="5" t="s">
        <v>9</v>
      </c>
      <c r="H191" s="5" t="s">
        <v>10</v>
      </c>
      <c r="I191" s="5" t="s">
        <v>11</v>
      </c>
      <c r="J191" s="6" t="s">
        <v>12</v>
      </c>
    </row>
    <row r="192" spans="2:15" hidden="1">
      <c r="C192" s="7" t="s">
        <v>45</v>
      </c>
      <c r="D192" s="8"/>
      <c r="E192" s="8"/>
      <c r="F192" s="8"/>
      <c r="G192" s="9" t="e">
        <f t="shared" ref="G192:G199" si="70">AVERAGE(D192:F192)</f>
        <v>#DIV/0!</v>
      </c>
      <c r="H192" s="10">
        <f t="shared" ref="H192:H199" si="71">MAX(D192:F192)</f>
        <v>0</v>
      </c>
      <c r="I192" s="8">
        <f t="shared" ref="I192:I199" si="72">MIN(D192:F192)</f>
        <v>0</v>
      </c>
      <c r="J192" s="11" t="e">
        <f t="shared" ref="J192:J199" si="73">_xlfn.STDEV.P(D192:F192)</f>
        <v>#DIV/0!</v>
      </c>
    </row>
    <row r="193" spans="3:15" hidden="1">
      <c r="C193" s="7" t="s">
        <v>46</v>
      </c>
      <c r="D193" s="8"/>
      <c r="E193" s="8"/>
      <c r="F193" s="8"/>
      <c r="G193" s="9" t="e">
        <f t="shared" si="70"/>
        <v>#DIV/0!</v>
      </c>
      <c r="H193" s="10">
        <f t="shared" si="71"/>
        <v>0</v>
      </c>
      <c r="I193" s="8">
        <f t="shared" si="72"/>
        <v>0</v>
      </c>
      <c r="J193" s="11" t="e">
        <f t="shared" si="73"/>
        <v>#DIV/0!</v>
      </c>
    </row>
    <row r="194" spans="3:15" hidden="1">
      <c r="C194" s="7" t="s">
        <v>64</v>
      </c>
      <c r="D194" s="8"/>
      <c r="E194" s="8"/>
      <c r="F194" s="8"/>
      <c r="G194" s="9" t="e">
        <f t="shared" si="70"/>
        <v>#DIV/0!</v>
      </c>
      <c r="H194" s="10">
        <f t="shared" si="71"/>
        <v>0</v>
      </c>
      <c r="I194" s="8">
        <f t="shared" si="72"/>
        <v>0</v>
      </c>
      <c r="J194" s="11" t="e">
        <f t="shared" si="73"/>
        <v>#DIV/0!</v>
      </c>
    </row>
    <row r="195" spans="3:15" hidden="1">
      <c r="C195" s="7" t="s">
        <v>63</v>
      </c>
      <c r="D195" s="8"/>
      <c r="E195" s="8"/>
      <c r="F195" s="8"/>
      <c r="G195" s="9" t="e">
        <f t="shared" si="70"/>
        <v>#DIV/0!</v>
      </c>
      <c r="H195" s="10">
        <f t="shared" si="71"/>
        <v>0</v>
      </c>
      <c r="I195" s="8">
        <f t="shared" si="72"/>
        <v>0</v>
      </c>
      <c r="J195" s="11" t="e">
        <f t="shared" si="73"/>
        <v>#DIV/0!</v>
      </c>
    </row>
    <row r="196" spans="3:15" hidden="1">
      <c r="C196" s="7" t="s">
        <v>49</v>
      </c>
      <c r="D196" s="8"/>
      <c r="E196" s="8"/>
      <c r="F196" s="8"/>
      <c r="G196" s="9" t="e">
        <f t="shared" si="70"/>
        <v>#DIV/0!</v>
      </c>
      <c r="H196" s="10">
        <f t="shared" si="71"/>
        <v>0</v>
      </c>
      <c r="I196" s="8">
        <f t="shared" si="72"/>
        <v>0</v>
      </c>
      <c r="J196" s="11" t="e">
        <f t="shared" si="73"/>
        <v>#DIV/0!</v>
      </c>
    </row>
    <row r="197" spans="3:15" hidden="1">
      <c r="C197" s="7" t="s">
        <v>50</v>
      </c>
      <c r="D197" s="8"/>
      <c r="E197" s="8"/>
      <c r="F197" s="8"/>
      <c r="G197" s="9" t="e">
        <f t="shared" si="70"/>
        <v>#DIV/0!</v>
      </c>
      <c r="H197" s="10">
        <f t="shared" si="71"/>
        <v>0</v>
      </c>
      <c r="I197" s="8">
        <f t="shared" si="72"/>
        <v>0</v>
      </c>
      <c r="J197" s="11" t="e">
        <f t="shared" si="73"/>
        <v>#DIV/0!</v>
      </c>
    </row>
    <row r="198" spans="3:15" hidden="1">
      <c r="C198" s="7" t="s">
        <v>95</v>
      </c>
      <c r="D198" s="62"/>
      <c r="E198" s="8"/>
      <c r="F198" s="8"/>
      <c r="G198" s="9" t="e">
        <f t="shared" si="70"/>
        <v>#DIV/0!</v>
      </c>
      <c r="H198" s="10">
        <f t="shared" si="71"/>
        <v>0</v>
      </c>
      <c r="I198" s="8">
        <f t="shared" si="72"/>
        <v>0</v>
      </c>
      <c r="J198" s="11" t="e">
        <f t="shared" si="73"/>
        <v>#DIV/0!</v>
      </c>
    </row>
    <row r="199" spans="3:15" ht="15.75" hidden="1" thickBot="1">
      <c r="C199" s="13" t="s">
        <v>66</v>
      </c>
      <c r="D199" s="14"/>
      <c r="E199" s="14"/>
      <c r="F199" s="14"/>
      <c r="G199" s="50" t="e">
        <f t="shared" si="70"/>
        <v>#DIV/0!</v>
      </c>
      <c r="H199" s="16">
        <f t="shared" si="71"/>
        <v>0</v>
      </c>
      <c r="I199" s="14">
        <f t="shared" si="72"/>
        <v>0</v>
      </c>
      <c r="J199" s="17" t="e">
        <f t="shared" si="73"/>
        <v>#DIV/0!</v>
      </c>
    </row>
    <row r="200" spans="3:15" hidden="1"/>
    <row r="201" spans="3:15" ht="15.75" hidden="1" thickBot="1"/>
    <row r="202" spans="3:15" ht="15.75" hidden="1" thickBot="1">
      <c r="C202" s="3" t="s">
        <v>58</v>
      </c>
      <c r="D202" s="281" t="s">
        <v>128</v>
      </c>
      <c r="E202" s="282"/>
      <c r="F202" s="282"/>
      <c r="G202" s="282"/>
      <c r="H202" s="282"/>
      <c r="I202" s="282"/>
      <c r="J202" s="283"/>
      <c r="O202" s="74"/>
    </row>
    <row r="203" spans="3:15" hidden="1">
      <c r="C203" s="4" t="s">
        <v>4</v>
      </c>
      <c r="D203" s="278" t="e">
        <f>BICS6_Performance!AT12</f>
        <v>#REF!</v>
      </c>
      <c r="E203" s="279"/>
      <c r="F203" s="279"/>
      <c r="G203" s="279"/>
      <c r="H203" s="279"/>
      <c r="I203" s="279"/>
      <c r="J203" s="280"/>
    </row>
    <row r="204" spans="3:15" hidden="1">
      <c r="C204" s="4" t="s">
        <v>5</v>
      </c>
      <c r="D204" s="5"/>
      <c r="E204" s="5"/>
      <c r="F204" s="5"/>
      <c r="G204" s="5" t="s">
        <v>9</v>
      </c>
      <c r="H204" s="5" t="s">
        <v>10</v>
      </c>
      <c r="I204" s="5" t="s">
        <v>11</v>
      </c>
      <c r="J204" s="6" t="s">
        <v>12</v>
      </c>
    </row>
    <row r="205" spans="3:15" s="90" customFormat="1" hidden="1">
      <c r="C205" s="85" t="s">
        <v>45</v>
      </c>
      <c r="D205" s="86"/>
      <c r="E205" s="86"/>
      <c r="F205" s="86"/>
      <c r="G205" s="87" t="e">
        <f t="shared" ref="G205:G212" si="74">AVERAGE(D205:F205)</f>
        <v>#DIV/0!</v>
      </c>
      <c r="H205" s="88">
        <f t="shared" ref="H205:H212" si="75">MAX(D205:F205)</f>
        <v>0</v>
      </c>
      <c r="I205" s="86">
        <f t="shared" ref="I205:I212" si="76">MIN(D205:F205)</f>
        <v>0</v>
      </c>
      <c r="J205" s="89" t="e">
        <f t="shared" ref="J205:J212" si="77">_xlfn.STDEV.P(D205:F205)</f>
        <v>#DIV/0!</v>
      </c>
    </row>
    <row r="206" spans="3:15" hidden="1">
      <c r="C206" s="7" t="s">
        <v>46</v>
      </c>
      <c r="D206" s="8"/>
      <c r="E206" s="8"/>
      <c r="F206" s="8"/>
      <c r="G206" s="9" t="e">
        <f t="shared" si="74"/>
        <v>#DIV/0!</v>
      </c>
      <c r="H206" s="10">
        <f t="shared" si="75"/>
        <v>0</v>
      </c>
      <c r="I206" s="8">
        <f t="shared" si="76"/>
        <v>0</v>
      </c>
      <c r="J206" s="11" t="e">
        <f t="shared" si="77"/>
        <v>#DIV/0!</v>
      </c>
    </row>
    <row r="207" spans="3:15" hidden="1">
      <c r="C207" s="7" t="s">
        <v>64</v>
      </c>
      <c r="D207" s="8"/>
      <c r="E207" s="8"/>
      <c r="F207" s="8"/>
      <c r="G207" s="9" t="e">
        <f t="shared" si="74"/>
        <v>#DIV/0!</v>
      </c>
      <c r="H207" s="10">
        <f t="shared" si="75"/>
        <v>0</v>
      </c>
      <c r="I207" s="8">
        <f t="shared" si="76"/>
        <v>0</v>
      </c>
      <c r="J207" s="11" t="e">
        <f t="shared" si="77"/>
        <v>#DIV/0!</v>
      </c>
    </row>
    <row r="208" spans="3:15" hidden="1">
      <c r="C208" s="7" t="s">
        <v>63</v>
      </c>
      <c r="D208" s="8"/>
      <c r="E208" s="8"/>
      <c r="F208" s="8"/>
      <c r="G208" s="9" t="e">
        <f t="shared" si="74"/>
        <v>#DIV/0!</v>
      </c>
      <c r="H208" s="10">
        <f t="shared" si="75"/>
        <v>0</v>
      </c>
      <c r="I208" s="8">
        <f t="shared" si="76"/>
        <v>0</v>
      </c>
      <c r="J208" s="11" t="e">
        <f t="shared" si="77"/>
        <v>#DIV/0!</v>
      </c>
    </row>
    <row r="209" spans="3:15" hidden="1">
      <c r="C209" s="7" t="s">
        <v>49</v>
      </c>
      <c r="D209" s="8"/>
      <c r="E209" s="8"/>
      <c r="F209" s="8"/>
      <c r="G209" s="9" t="e">
        <f t="shared" si="74"/>
        <v>#DIV/0!</v>
      </c>
      <c r="H209" s="10">
        <f t="shared" si="75"/>
        <v>0</v>
      </c>
      <c r="I209" s="8">
        <f t="shared" si="76"/>
        <v>0</v>
      </c>
      <c r="J209" s="11" t="e">
        <f t="shared" si="77"/>
        <v>#DIV/0!</v>
      </c>
    </row>
    <row r="210" spans="3:15" hidden="1">
      <c r="C210" s="7" t="s">
        <v>50</v>
      </c>
      <c r="D210" s="8"/>
      <c r="E210" s="8"/>
      <c r="F210" s="8"/>
      <c r="G210" s="9" t="e">
        <f t="shared" si="74"/>
        <v>#DIV/0!</v>
      </c>
      <c r="H210" s="10">
        <f t="shared" si="75"/>
        <v>0</v>
      </c>
      <c r="I210" s="8">
        <f t="shared" si="76"/>
        <v>0</v>
      </c>
      <c r="J210" s="11" t="e">
        <f t="shared" si="77"/>
        <v>#DIV/0!</v>
      </c>
    </row>
    <row r="211" spans="3:15" hidden="1">
      <c r="C211" s="7" t="s">
        <v>65</v>
      </c>
      <c r="D211" s="62"/>
      <c r="E211" s="8"/>
      <c r="F211" s="8"/>
      <c r="G211" s="9" t="e">
        <f t="shared" si="74"/>
        <v>#DIV/0!</v>
      </c>
      <c r="H211" s="10">
        <f t="shared" si="75"/>
        <v>0</v>
      </c>
      <c r="I211" s="8">
        <f t="shared" si="76"/>
        <v>0</v>
      </c>
      <c r="J211" s="11" t="e">
        <f t="shared" si="77"/>
        <v>#DIV/0!</v>
      </c>
    </row>
    <row r="212" spans="3:15" ht="15.75" hidden="1" thickBot="1">
      <c r="C212" s="13" t="s">
        <v>66</v>
      </c>
      <c r="D212" s="14"/>
      <c r="E212" s="14"/>
      <c r="F212" s="14"/>
      <c r="G212" s="50" t="e">
        <f t="shared" si="74"/>
        <v>#DIV/0!</v>
      </c>
      <c r="H212" s="16">
        <f t="shared" si="75"/>
        <v>0</v>
      </c>
      <c r="I212" s="14">
        <f t="shared" si="76"/>
        <v>0</v>
      </c>
      <c r="J212" s="17" t="e">
        <f t="shared" si="77"/>
        <v>#DIV/0!</v>
      </c>
    </row>
    <row r="213" spans="3:15" ht="15.75" hidden="1" thickBot="1"/>
    <row r="214" spans="3:15" ht="15.75" hidden="1" thickBot="1">
      <c r="C214" s="3" t="s">
        <v>58</v>
      </c>
      <c r="D214" s="281" t="s">
        <v>129</v>
      </c>
      <c r="E214" s="282"/>
      <c r="F214" s="282"/>
      <c r="G214" s="282"/>
      <c r="H214" s="282"/>
      <c r="I214" s="282"/>
      <c r="J214" s="283"/>
      <c r="O214" s="74"/>
    </row>
    <row r="215" spans="3:15" hidden="1">
      <c r="C215" s="4" t="s">
        <v>4</v>
      </c>
      <c r="D215" s="278" t="str">
        <f>BICS6_Performance!T12</f>
        <v>R1037T2P
by connecting M.2 slot
(Security, Gen4)</v>
      </c>
      <c r="E215" s="279"/>
      <c r="F215" s="279"/>
      <c r="G215" s="279"/>
      <c r="H215" s="279"/>
      <c r="I215" s="279"/>
      <c r="J215" s="280"/>
    </row>
    <row r="216" spans="3:15" hidden="1">
      <c r="C216" s="4" t="s">
        <v>5</v>
      </c>
      <c r="D216" s="5" t="s">
        <v>6</v>
      </c>
      <c r="E216" s="5" t="s">
        <v>7</v>
      </c>
      <c r="F216" s="5" t="s">
        <v>8</v>
      </c>
      <c r="G216" s="5" t="s">
        <v>9</v>
      </c>
      <c r="H216" s="5" t="s">
        <v>10</v>
      </c>
      <c r="I216" s="5" t="s">
        <v>11</v>
      </c>
      <c r="J216" s="6" t="s">
        <v>12</v>
      </c>
    </row>
    <row r="217" spans="3:15" s="90" customFormat="1" hidden="1">
      <c r="C217" s="85" t="s">
        <v>45</v>
      </c>
      <c r="D217" s="86"/>
      <c r="E217" s="86"/>
      <c r="F217" s="86"/>
      <c r="G217" s="87" t="e">
        <f>AVERAGE(D217:F217)</f>
        <v>#DIV/0!</v>
      </c>
      <c r="H217" s="88">
        <f>MAX(D217:F217)</f>
        <v>0</v>
      </c>
      <c r="I217" s="86">
        <f>MIN(D217:F217)</f>
        <v>0</v>
      </c>
      <c r="J217" s="89" t="e">
        <f>_xlfn.STDEV.P(D217:F217)</f>
        <v>#DIV/0!</v>
      </c>
    </row>
    <row r="218" spans="3:15" hidden="1">
      <c r="C218" s="7" t="s">
        <v>46</v>
      </c>
      <c r="D218" s="8"/>
      <c r="E218" s="8"/>
      <c r="F218" s="8"/>
      <c r="G218" s="9" t="e">
        <f t="shared" ref="G218:G223" si="78">AVERAGE(D218:F218)</f>
        <v>#DIV/0!</v>
      </c>
      <c r="H218" s="10">
        <f t="shared" ref="H218:H224" si="79">MAX(D218:F218)</f>
        <v>0</v>
      </c>
      <c r="I218" s="8">
        <f t="shared" ref="I218:I224" si="80">MIN(D218:F218)</f>
        <v>0</v>
      </c>
      <c r="J218" s="11" t="e">
        <f t="shared" ref="J218:J224" si="81">_xlfn.STDEV.P(D218:F218)</f>
        <v>#DIV/0!</v>
      </c>
    </row>
    <row r="219" spans="3:15" hidden="1">
      <c r="C219" s="7" t="s">
        <v>64</v>
      </c>
      <c r="D219" s="8"/>
      <c r="E219" s="8"/>
      <c r="F219" s="8"/>
      <c r="G219" s="9" t="e">
        <f t="shared" si="78"/>
        <v>#DIV/0!</v>
      </c>
      <c r="H219" s="10">
        <f t="shared" si="79"/>
        <v>0</v>
      </c>
      <c r="I219" s="8">
        <f t="shared" si="80"/>
        <v>0</v>
      </c>
      <c r="J219" s="11" t="e">
        <f t="shared" si="81"/>
        <v>#DIV/0!</v>
      </c>
    </row>
    <row r="220" spans="3:15" hidden="1">
      <c r="C220" s="7" t="s">
        <v>63</v>
      </c>
      <c r="D220" s="8"/>
      <c r="E220" s="8"/>
      <c r="F220" s="8"/>
      <c r="G220" s="9" t="e">
        <f t="shared" si="78"/>
        <v>#DIV/0!</v>
      </c>
      <c r="H220" s="10">
        <f t="shared" si="79"/>
        <v>0</v>
      </c>
      <c r="I220" s="8">
        <f t="shared" si="80"/>
        <v>0</v>
      </c>
      <c r="J220" s="11" t="e">
        <f t="shared" si="81"/>
        <v>#DIV/0!</v>
      </c>
    </row>
    <row r="221" spans="3:15" hidden="1">
      <c r="C221" s="7" t="s">
        <v>146</v>
      </c>
      <c r="D221" s="8"/>
      <c r="E221" s="8"/>
      <c r="F221" s="8"/>
      <c r="G221" s="9" t="e">
        <f t="shared" si="78"/>
        <v>#DIV/0!</v>
      </c>
      <c r="H221" s="10">
        <f t="shared" si="79"/>
        <v>0</v>
      </c>
      <c r="I221" s="8">
        <f t="shared" si="80"/>
        <v>0</v>
      </c>
      <c r="J221" s="11" t="e">
        <f t="shared" si="81"/>
        <v>#DIV/0!</v>
      </c>
    </row>
    <row r="222" spans="3:15" hidden="1">
      <c r="C222" s="7" t="s">
        <v>147</v>
      </c>
      <c r="D222" s="8"/>
      <c r="E222" s="8"/>
      <c r="F222" s="8"/>
      <c r="G222" s="9" t="e">
        <f t="shared" si="78"/>
        <v>#DIV/0!</v>
      </c>
      <c r="H222" s="10">
        <f t="shared" si="79"/>
        <v>0</v>
      </c>
      <c r="I222" s="8">
        <f t="shared" si="80"/>
        <v>0</v>
      </c>
      <c r="J222" s="11" t="e">
        <f t="shared" si="81"/>
        <v>#DIV/0!</v>
      </c>
    </row>
    <row r="223" spans="3:15" hidden="1">
      <c r="C223" s="92" t="s">
        <v>149</v>
      </c>
      <c r="D223" s="62"/>
      <c r="E223" s="8"/>
      <c r="F223" s="8"/>
      <c r="G223" s="9" t="e">
        <f t="shared" si="78"/>
        <v>#DIV/0!</v>
      </c>
      <c r="H223" s="10">
        <f t="shared" si="79"/>
        <v>0</v>
      </c>
      <c r="I223" s="8">
        <f t="shared" si="80"/>
        <v>0</v>
      </c>
      <c r="J223" s="11" t="e">
        <f t="shared" si="81"/>
        <v>#DIV/0!</v>
      </c>
    </row>
    <row r="224" spans="3:15" ht="15.75" hidden="1" thickBot="1">
      <c r="C224" s="13" t="s">
        <v>148</v>
      </c>
      <c r="D224" s="14"/>
      <c r="E224" s="14"/>
      <c r="F224" s="14"/>
      <c r="G224" s="50" t="e">
        <f>AVERAGE(D224:F224)</f>
        <v>#DIV/0!</v>
      </c>
      <c r="H224" s="16">
        <f t="shared" si="79"/>
        <v>0</v>
      </c>
      <c r="I224" s="14">
        <f t="shared" si="80"/>
        <v>0</v>
      </c>
      <c r="J224" s="17" t="e">
        <f t="shared" si="81"/>
        <v>#DIV/0!</v>
      </c>
    </row>
    <row r="225" spans="3:17" ht="15.75" hidden="1" thickBot="1"/>
    <row r="226" spans="3:17" ht="15.75" hidden="1" thickBot="1">
      <c r="C226" s="3" t="s">
        <v>58</v>
      </c>
      <c r="D226" s="281" t="s">
        <v>129</v>
      </c>
      <c r="E226" s="282"/>
      <c r="F226" s="282"/>
      <c r="G226" s="282"/>
      <c r="H226" s="282"/>
      <c r="I226" s="282"/>
      <c r="J226" s="283"/>
      <c r="O226" s="74"/>
      <c r="Q226" t="s">
        <v>143</v>
      </c>
    </row>
    <row r="227" spans="3:17" hidden="1">
      <c r="C227" s="4" t="s">
        <v>4</v>
      </c>
      <c r="D227" s="278" t="str">
        <f>BICS6_Performance!T12</f>
        <v>R1037T2P
by connecting M.2 slot
(Security, Gen4)</v>
      </c>
      <c r="E227" s="279"/>
      <c r="F227" s="279"/>
      <c r="G227" s="279"/>
      <c r="H227" s="279"/>
      <c r="I227" s="279"/>
      <c r="J227" s="280"/>
    </row>
    <row r="228" spans="3:17" hidden="1">
      <c r="C228" s="4" t="s">
        <v>5</v>
      </c>
      <c r="D228" s="5" t="s">
        <v>6</v>
      </c>
      <c r="E228" s="5" t="s">
        <v>7</v>
      </c>
      <c r="F228" s="5" t="s">
        <v>8</v>
      </c>
      <c r="G228" s="5" t="s">
        <v>9</v>
      </c>
      <c r="H228" s="5" t="s">
        <v>10</v>
      </c>
      <c r="I228" s="5" t="s">
        <v>11</v>
      </c>
      <c r="J228" s="6" t="s">
        <v>12</v>
      </c>
    </row>
    <row r="229" spans="3:17" s="90" customFormat="1" hidden="1">
      <c r="C229" s="85" t="s">
        <v>45</v>
      </c>
      <c r="D229" s="86"/>
      <c r="E229" s="86"/>
      <c r="F229" s="86"/>
      <c r="G229" s="87" t="e">
        <f>AVERAGE(D229:F229)</f>
        <v>#DIV/0!</v>
      </c>
      <c r="H229" s="88">
        <f>MAX(D229:F229)</f>
        <v>0</v>
      </c>
      <c r="I229" s="86">
        <f>MIN(D229:F229)</f>
        <v>0</v>
      </c>
      <c r="J229" s="89" t="e">
        <f>_xlfn.STDEV.P(D229:F229)</f>
        <v>#DIV/0!</v>
      </c>
    </row>
    <row r="230" spans="3:17" hidden="1">
      <c r="C230" s="7" t="s">
        <v>46</v>
      </c>
      <c r="D230" s="8"/>
      <c r="E230" s="8"/>
      <c r="F230" s="8"/>
      <c r="G230" s="87" t="e">
        <f t="shared" ref="G230:G236" si="82">AVERAGE(D230:F230)</f>
        <v>#DIV/0!</v>
      </c>
      <c r="H230" s="88">
        <f t="shared" ref="H230:H236" si="83">MAX(D230:F230)</f>
        <v>0</v>
      </c>
      <c r="I230" s="86">
        <f t="shared" ref="I230:I236" si="84">MIN(D230:F230)</f>
        <v>0</v>
      </c>
      <c r="J230" s="89" t="e">
        <f t="shared" ref="J230:J236" si="85">_xlfn.STDEV.P(D230:F230)</f>
        <v>#DIV/0!</v>
      </c>
    </row>
    <row r="231" spans="3:17" hidden="1">
      <c r="C231" s="7" t="s">
        <v>64</v>
      </c>
      <c r="D231" s="8"/>
      <c r="E231" s="8"/>
      <c r="F231" s="8"/>
      <c r="G231" s="87" t="e">
        <f t="shared" si="82"/>
        <v>#DIV/0!</v>
      </c>
      <c r="H231" s="88">
        <f t="shared" si="83"/>
        <v>0</v>
      </c>
      <c r="I231" s="86">
        <f t="shared" si="84"/>
        <v>0</v>
      </c>
      <c r="J231" s="89" t="e">
        <f t="shared" si="85"/>
        <v>#DIV/0!</v>
      </c>
    </row>
    <row r="232" spans="3:17" hidden="1">
      <c r="C232" s="7" t="s">
        <v>63</v>
      </c>
      <c r="D232" s="8"/>
      <c r="E232" s="8"/>
      <c r="F232" s="8"/>
      <c r="G232" s="87" t="e">
        <f t="shared" si="82"/>
        <v>#DIV/0!</v>
      </c>
      <c r="H232" s="88">
        <f t="shared" si="83"/>
        <v>0</v>
      </c>
      <c r="I232" s="86">
        <f t="shared" si="84"/>
        <v>0</v>
      </c>
      <c r="J232" s="89" t="e">
        <f t="shared" si="85"/>
        <v>#DIV/0!</v>
      </c>
    </row>
    <row r="233" spans="3:17" hidden="1">
      <c r="C233" s="7" t="s">
        <v>146</v>
      </c>
      <c r="D233" s="8"/>
      <c r="E233" s="8"/>
      <c r="F233" s="8"/>
      <c r="G233" s="87" t="e">
        <f t="shared" si="82"/>
        <v>#DIV/0!</v>
      </c>
      <c r="H233" s="88">
        <f t="shared" si="83"/>
        <v>0</v>
      </c>
      <c r="I233" s="86">
        <f t="shared" si="84"/>
        <v>0</v>
      </c>
      <c r="J233" s="89" t="e">
        <f t="shared" si="85"/>
        <v>#DIV/0!</v>
      </c>
    </row>
    <row r="234" spans="3:17" hidden="1">
      <c r="C234" s="7" t="s">
        <v>147</v>
      </c>
      <c r="D234" s="8"/>
      <c r="E234" s="8"/>
      <c r="F234" s="8"/>
      <c r="G234" s="87" t="e">
        <f t="shared" si="82"/>
        <v>#DIV/0!</v>
      </c>
      <c r="H234" s="88">
        <f t="shared" si="83"/>
        <v>0</v>
      </c>
      <c r="I234" s="86">
        <f t="shared" si="84"/>
        <v>0</v>
      </c>
      <c r="J234" s="89" t="e">
        <f t="shared" si="85"/>
        <v>#DIV/0!</v>
      </c>
    </row>
    <row r="235" spans="3:17" hidden="1">
      <c r="C235" s="92" t="s">
        <v>149</v>
      </c>
      <c r="D235" s="62"/>
      <c r="E235" s="8"/>
      <c r="F235" s="8"/>
      <c r="G235" s="87" t="e">
        <f t="shared" si="82"/>
        <v>#DIV/0!</v>
      </c>
      <c r="H235" s="88">
        <f t="shared" si="83"/>
        <v>0</v>
      </c>
      <c r="I235" s="86">
        <f t="shared" si="84"/>
        <v>0</v>
      </c>
      <c r="J235" s="89" t="e">
        <f t="shared" si="85"/>
        <v>#DIV/0!</v>
      </c>
    </row>
    <row r="236" spans="3:17" ht="15.75" hidden="1" thickBot="1">
      <c r="C236" s="13" t="s">
        <v>148</v>
      </c>
      <c r="D236" s="14"/>
      <c r="E236" s="14"/>
      <c r="F236" s="14"/>
      <c r="G236" s="87" t="e">
        <f t="shared" si="82"/>
        <v>#DIV/0!</v>
      </c>
      <c r="H236" s="88">
        <f t="shared" si="83"/>
        <v>0</v>
      </c>
      <c r="I236" s="86">
        <f t="shared" si="84"/>
        <v>0</v>
      </c>
      <c r="J236" s="89" t="e">
        <f t="shared" si="85"/>
        <v>#DIV/0!</v>
      </c>
    </row>
    <row r="237" spans="3:17" hidden="1"/>
  </sheetData>
  <mergeCells count="36">
    <mergeCell ref="D214:J214"/>
    <mergeCell ref="D215:J215"/>
    <mergeCell ref="D226:J226"/>
    <mergeCell ref="D227:J227"/>
    <mergeCell ref="D202:J202"/>
    <mergeCell ref="D203:J203"/>
    <mergeCell ref="D190:J190"/>
    <mergeCell ref="D152:J152"/>
    <mergeCell ref="D153:J153"/>
    <mergeCell ref="D164:J164"/>
    <mergeCell ref="D165:J165"/>
    <mergeCell ref="D176:J176"/>
    <mergeCell ref="D177:J177"/>
    <mergeCell ref="D3:J3"/>
    <mergeCell ref="D4:J4"/>
    <mergeCell ref="D15:J15"/>
    <mergeCell ref="D16:J16"/>
    <mergeCell ref="D189:J189"/>
    <mergeCell ref="D27:J27"/>
    <mergeCell ref="D28:J28"/>
    <mergeCell ref="D39:J39"/>
    <mergeCell ref="D40:J40"/>
    <mergeCell ref="D51:J51"/>
    <mergeCell ref="D140:J140"/>
    <mergeCell ref="D141:J141"/>
    <mergeCell ref="D52:J52"/>
    <mergeCell ref="D128:J128"/>
    <mergeCell ref="D95:J95"/>
    <mergeCell ref="D96:J96"/>
    <mergeCell ref="D112:J112"/>
    <mergeCell ref="D127:J127"/>
    <mergeCell ref="D111:J111"/>
    <mergeCell ref="D63:J63"/>
    <mergeCell ref="D80:J80"/>
    <mergeCell ref="D79:J79"/>
    <mergeCell ref="D64:J64"/>
  </mergeCells>
  <phoneticPr fontId="26" type="noConversion"/>
  <pageMargins left="0.7" right="0.7" top="0.75" bottom="0.75" header="0.3" footer="0.3"/>
  <pageSetup orientation="portrait" horizontalDpi="4294967295" verticalDpi="4294967295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D12:AN25"/>
  <sheetViews>
    <sheetView tabSelected="1" topLeftCell="L1" workbookViewId="0">
      <selection activeCell="W15" sqref="W15"/>
    </sheetView>
  </sheetViews>
  <sheetFormatPr defaultColWidth="9.140625" defaultRowHeight="15"/>
  <cols>
    <col min="1" max="1" width="9" style="171" bestFit="1" customWidth="1"/>
    <col min="2" max="2" width="8.5703125" style="171" bestFit="1" customWidth="1"/>
    <col min="3" max="3" width="7.5703125" style="171" bestFit="1" customWidth="1"/>
    <col min="4" max="4" width="7.140625" style="171" bestFit="1" customWidth="1"/>
    <col min="5" max="5" width="8.5703125" style="183" bestFit="1" customWidth="1"/>
    <col min="6" max="6" width="7.5703125" style="171" bestFit="1" customWidth="1"/>
    <col min="7" max="7" width="10.5703125" style="183" bestFit="1" customWidth="1"/>
    <col min="8" max="8" width="7.7109375" style="171" bestFit="1" customWidth="1"/>
    <col min="9" max="9" width="7" style="171" bestFit="1" customWidth="1"/>
    <col min="10" max="10" width="5.42578125" style="171" bestFit="1" customWidth="1"/>
    <col min="11" max="11" width="9.140625" style="171"/>
    <col min="12" max="12" width="9" style="171" bestFit="1" customWidth="1"/>
    <col min="13" max="13" width="8.5703125" style="171" bestFit="1" customWidth="1"/>
    <col min="14" max="14" width="7.5703125" style="171" bestFit="1" customWidth="1"/>
    <col min="15" max="15" width="7.140625" style="171" bestFit="1" customWidth="1"/>
    <col min="16" max="16" width="8.5703125" style="183" bestFit="1" customWidth="1"/>
    <col min="17" max="17" width="8.140625" style="171" bestFit="1" customWidth="1"/>
    <col min="18" max="18" width="11.5703125" style="183" bestFit="1" customWidth="1"/>
    <col min="19" max="19" width="7.7109375" style="171" bestFit="1" customWidth="1"/>
    <col min="20" max="20" width="7" style="171" bestFit="1" customWidth="1"/>
    <col min="21" max="21" width="5.42578125" style="171" bestFit="1" customWidth="1"/>
    <col min="22" max="23" width="9" style="171" bestFit="1" customWidth="1"/>
    <col min="24" max="24" width="8.5703125" style="171" bestFit="1" customWidth="1"/>
    <col min="25" max="25" width="7.5703125" style="171" bestFit="1" customWidth="1"/>
    <col min="26" max="26" width="7.140625" style="171" bestFit="1" customWidth="1"/>
    <col min="27" max="27" width="8.5703125" style="183" bestFit="1" customWidth="1"/>
    <col min="28" max="28" width="8.140625" style="171" bestFit="1" customWidth="1"/>
    <col min="29" max="29" width="11.5703125" style="183" bestFit="1" customWidth="1"/>
    <col min="30" max="30" width="7.7109375" style="171" bestFit="1" customWidth="1"/>
    <col min="31" max="31" width="7" style="171" bestFit="1" customWidth="1"/>
    <col min="32" max="32" width="5.42578125" style="171" bestFit="1" customWidth="1"/>
    <col min="33" max="34" width="9" style="171" bestFit="1" customWidth="1"/>
    <col min="35" max="35" width="8.5703125" style="171" bestFit="1" customWidth="1"/>
    <col min="36" max="36" width="8.140625" style="171" bestFit="1" customWidth="1"/>
    <col min="37" max="37" width="7.140625" style="171" bestFit="1" customWidth="1"/>
    <col min="38" max="38" width="8.5703125" style="183" bestFit="1" customWidth="1"/>
    <col min="39" max="39" width="8.140625" style="171" bestFit="1" customWidth="1"/>
    <col min="40" max="40" width="11.5703125" style="183" bestFit="1" customWidth="1"/>
    <col min="41" max="41" width="7.7109375" style="171" bestFit="1" customWidth="1"/>
    <col min="42" max="42" width="7" style="171" bestFit="1" customWidth="1"/>
    <col min="43" max="43" width="5.42578125" style="171" bestFit="1" customWidth="1"/>
    <col min="44" max="16384" width="9.140625" style="171"/>
  </cols>
  <sheetData>
    <row r="12" spans="5:40" s="198" customFormat="1" ht="15.75" thickBot="1">
      <c r="E12" s="199"/>
      <c r="G12" s="199"/>
      <c r="P12" s="199"/>
      <c r="R12" s="199"/>
      <c r="AA12" s="199"/>
      <c r="AC12" s="199"/>
      <c r="AL12" s="199"/>
      <c r="AN12" s="199"/>
    </row>
    <row r="13" spans="5:40" s="172" customFormat="1">
      <c r="E13" s="184"/>
      <c r="G13" s="184"/>
      <c r="P13" s="184"/>
      <c r="R13" s="184"/>
      <c r="AA13" s="184"/>
      <c r="AC13" s="184"/>
      <c r="AL13" s="184"/>
      <c r="AN13" s="184"/>
    </row>
    <row r="14" spans="5:40" s="172" customFormat="1">
      <c r="E14" s="184"/>
      <c r="G14" s="184"/>
      <c r="P14" s="184"/>
      <c r="R14" s="184"/>
      <c r="AA14" s="184"/>
      <c r="AC14" s="184"/>
      <c r="AL14" s="184"/>
      <c r="AN14" s="184"/>
    </row>
    <row r="15" spans="5:40" s="172" customFormat="1">
      <c r="E15" s="184"/>
      <c r="G15" s="184"/>
      <c r="P15" s="184"/>
      <c r="R15" s="184"/>
      <c r="AA15" s="184"/>
      <c r="AC15" s="184"/>
      <c r="AL15" s="184"/>
      <c r="AN15" s="184"/>
    </row>
    <row r="16" spans="5:40" s="172" customFormat="1">
      <c r="E16" s="184"/>
      <c r="G16" s="184"/>
      <c r="P16" s="184"/>
      <c r="R16" s="184"/>
      <c r="AA16" s="184"/>
      <c r="AC16" s="184"/>
      <c r="AL16" s="184"/>
      <c r="AN16" s="184"/>
    </row>
    <row r="17" spans="4:40" s="172" customFormat="1">
      <c r="E17" s="184"/>
      <c r="G17" s="184"/>
      <c r="P17" s="184"/>
      <c r="R17" s="184"/>
      <c r="AA17" s="184"/>
      <c r="AC17" s="184"/>
      <c r="AL17" s="184"/>
      <c r="AN17" s="184"/>
    </row>
    <row r="18" spans="4:40" s="172" customFormat="1">
      <c r="E18" s="184"/>
      <c r="G18" s="184"/>
      <c r="P18" s="184"/>
      <c r="R18" s="184"/>
      <c r="AA18" s="184"/>
      <c r="AC18" s="184"/>
      <c r="AL18" s="184"/>
      <c r="AN18" s="184"/>
    </row>
    <row r="19" spans="4:40" s="172" customFormat="1">
      <c r="E19" s="184"/>
      <c r="G19" s="184"/>
      <c r="P19" s="184"/>
      <c r="R19" s="184"/>
      <c r="AA19" s="184"/>
      <c r="AC19" s="184"/>
      <c r="AL19" s="184"/>
      <c r="AN19" s="184"/>
    </row>
    <row r="20" spans="4:40" s="172" customFormat="1">
      <c r="E20" s="184"/>
      <c r="G20" s="184"/>
      <c r="P20" s="184"/>
      <c r="R20" s="184"/>
      <c r="AA20" s="184"/>
      <c r="AC20" s="184"/>
      <c r="AL20" s="184"/>
      <c r="AN20" s="184"/>
    </row>
    <row r="21" spans="4:40" s="172" customFormat="1">
      <c r="E21" s="184"/>
      <c r="G21" s="184"/>
      <c r="P21" s="184"/>
      <c r="R21" s="184"/>
      <c r="AA21" s="184"/>
      <c r="AC21" s="184"/>
      <c r="AL21" s="184"/>
      <c r="AN21" s="184"/>
    </row>
    <row r="22" spans="4:40" s="172" customFormat="1">
      <c r="E22" s="184"/>
      <c r="G22" s="184"/>
      <c r="P22" s="184"/>
      <c r="R22" s="184"/>
      <c r="AA22" s="184"/>
      <c r="AC22" s="184"/>
      <c r="AL22" s="184"/>
      <c r="AN22" s="184"/>
    </row>
    <row r="23" spans="4:40" s="172" customFormat="1">
      <c r="E23" s="184"/>
      <c r="G23" s="184"/>
      <c r="P23" s="184"/>
      <c r="R23" s="184"/>
      <c r="AA23" s="184"/>
      <c r="AC23" s="184"/>
      <c r="AL23" s="184"/>
      <c r="AN23" s="184"/>
    </row>
    <row r="24" spans="4:40" s="198" customFormat="1" ht="15.75" thickBot="1">
      <c r="E24" s="199"/>
      <c r="G24" s="199"/>
      <c r="P24" s="199"/>
      <c r="R24" s="199"/>
      <c r="AA24" s="199"/>
      <c r="AC24" s="199"/>
      <c r="AL24" s="199"/>
      <c r="AN24" s="199"/>
    </row>
    <row r="25" spans="4:40">
      <c r="D25" s="173"/>
    </row>
  </sheetData>
  <phoneticPr fontId="26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W1:AF36"/>
  <sheetViews>
    <sheetView topLeftCell="K1" workbookViewId="0">
      <selection activeCell="AI28" sqref="AI28"/>
    </sheetView>
  </sheetViews>
  <sheetFormatPr defaultRowHeight="15"/>
  <cols>
    <col min="1" max="1" width="9" bestFit="1" customWidth="1"/>
    <col min="2" max="2" width="8.5703125" bestFit="1" customWidth="1"/>
    <col min="3" max="3" width="7.5703125" bestFit="1" customWidth="1"/>
    <col min="4" max="4" width="7.140625" bestFit="1" customWidth="1"/>
    <col min="5" max="5" width="9" bestFit="1" customWidth="1"/>
    <col min="6" max="6" width="7.5703125" bestFit="1" customWidth="1"/>
    <col min="7" max="7" width="9" bestFit="1" customWidth="1"/>
    <col min="8" max="8" width="7.7109375" bestFit="1" customWidth="1"/>
    <col min="9" max="9" width="7" bestFit="1" customWidth="1"/>
    <col min="10" max="10" width="5.42578125" bestFit="1" customWidth="1"/>
    <col min="12" max="12" width="9" bestFit="1" customWidth="1"/>
    <col min="13" max="13" width="8.5703125" bestFit="1" customWidth="1"/>
    <col min="14" max="14" width="7.5703125" bestFit="1" customWidth="1"/>
    <col min="15" max="15" width="7.140625" bestFit="1" customWidth="1"/>
    <col min="16" max="16" width="9" bestFit="1" customWidth="1"/>
    <col min="17" max="17" width="8.140625" bestFit="1" customWidth="1"/>
    <col min="18" max="18" width="9" bestFit="1" customWidth="1"/>
    <col min="19" max="19" width="7.7109375" bestFit="1" customWidth="1"/>
    <col min="20" max="20" width="7" bestFit="1" customWidth="1"/>
    <col min="21" max="21" width="5.42578125" bestFit="1" customWidth="1"/>
    <col min="22" max="22" width="2" bestFit="1" customWidth="1"/>
    <col min="23" max="23" width="9" bestFit="1" customWidth="1"/>
    <col min="24" max="24" width="8.5703125" bestFit="1" customWidth="1"/>
    <col min="25" max="25" width="7.5703125" bestFit="1" customWidth="1"/>
    <col min="26" max="26" width="7.140625" bestFit="1" customWidth="1"/>
    <col min="27" max="27" width="9" bestFit="1" customWidth="1"/>
    <col min="28" max="28" width="8.140625" bestFit="1" customWidth="1"/>
    <col min="29" max="29" width="9" bestFit="1" customWidth="1"/>
    <col min="30" max="30" width="7.7109375" bestFit="1" customWidth="1"/>
    <col min="31" max="31" width="7" bestFit="1" customWidth="1"/>
    <col min="32" max="32" width="5.42578125" bestFit="1" customWidth="1"/>
    <col min="33" max="34" width="9" bestFit="1" customWidth="1"/>
    <col min="35" max="35" width="8.5703125" bestFit="1" customWidth="1"/>
    <col min="36" max="36" width="8.140625" bestFit="1" customWidth="1"/>
    <col min="37" max="37" width="7.140625" bestFit="1" customWidth="1"/>
    <col min="38" max="38" width="9" bestFit="1" customWidth="1"/>
    <col min="39" max="39" width="8.140625" bestFit="1" customWidth="1"/>
    <col min="40" max="40" width="9" bestFit="1" customWidth="1"/>
    <col min="41" max="41" width="7.7109375" bestFit="1" customWidth="1"/>
    <col min="42" max="42" width="7" bestFit="1" customWidth="1"/>
    <col min="43" max="43" width="5.42578125" bestFit="1" customWidth="1"/>
  </cols>
  <sheetData>
    <row r="1" spans="23:32">
      <c r="W1" t="s">
        <v>184</v>
      </c>
      <c r="X1" t="s">
        <v>185</v>
      </c>
      <c r="Y1" t="s">
        <v>186</v>
      </c>
      <c r="Z1" t="s">
        <v>187</v>
      </c>
      <c r="AA1">
        <v>6980.3310000000001</v>
      </c>
      <c r="AB1" t="s">
        <v>188</v>
      </c>
      <c r="AC1">
        <v>6657</v>
      </c>
      <c r="AD1" t="s">
        <v>189</v>
      </c>
      <c r="AE1">
        <v>1200.8</v>
      </c>
      <c r="AF1" t="s">
        <v>197</v>
      </c>
    </row>
    <row r="2" spans="23:32">
      <c r="W2" t="s">
        <v>184</v>
      </c>
      <c r="X2" t="s">
        <v>235</v>
      </c>
      <c r="Y2" t="s">
        <v>195</v>
      </c>
      <c r="Z2" t="s">
        <v>187</v>
      </c>
      <c r="AA2">
        <v>6973.5870000000004</v>
      </c>
      <c r="AB2" t="s">
        <v>188</v>
      </c>
      <c r="AC2">
        <v>53204.2</v>
      </c>
      <c r="AD2" t="s">
        <v>189</v>
      </c>
      <c r="AE2">
        <v>601</v>
      </c>
      <c r="AF2" t="s">
        <v>238</v>
      </c>
    </row>
    <row r="3" spans="23:32">
      <c r="W3" t="s">
        <v>193</v>
      </c>
      <c r="X3" t="s">
        <v>194</v>
      </c>
      <c r="Y3" t="s">
        <v>195</v>
      </c>
      <c r="Z3" t="s">
        <v>196</v>
      </c>
      <c r="AA3">
        <v>4997.1559999999999</v>
      </c>
      <c r="AB3" t="s">
        <v>226</v>
      </c>
      <c r="AC3">
        <v>1220008.8</v>
      </c>
      <c r="AD3" t="s">
        <v>189</v>
      </c>
      <c r="AE3">
        <v>419.3</v>
      </c>
      <c r="AF3" t="s">
        <v>238</v>
      </c>
    </row>
    <row r="4" spans="23:32">
      <c r="W4" t="s">
        <v>193</v>
      </c>
      <c r="X4" t="s">
        <v>194</v>
      </c>
      <c r="Y4" t="s">
        <v>191</v>
      </c>
      <c r="Z4" t="s">
        <v>187</v>
      </c>
      <c r="AA4">
        <v>97.411000000000001</v>
      </c>
      <c r="AB4" t="s">
        <v>188</v>
      </c>
      <c r="AC4">
        <v>23782</v>
      </c>
      <c r="AD4" t="s">
        <v>189</v>
      </c>
      <c r="AE4">
        <v>41.9</v>
      </c>
      <c r="AF4" t="s">
        <v>190</v>
      </c>
    </row>
    <row r="5" spans="23:32">
      <c r="W5" t="s">
        <v>184</v>
      </c>
      <c r="X5" t="s">
        <v>185</v>
      </c>
      <c r="Y5" t="s">
        <v>186</v>
      </c>
      <c r="Z5" t="s">
        <v>187</v>
      </c>
      <c r="AA5">
        <v>6656.5910000000003</v>
      </c>
      <c r="AB5" t="s">
        <v>188</v>
      </c>
      <c r="AC5">
        <v>6348.2</v>
      </c>
      <c r="AD5" t="s">
        <v>189</v>
      </c>
      <c r="AE5">
        <v>1258.8</v>
      </c>
      <c r="AF5" t="s">
        <v>190</v>
      </c>
    </row>
    <row r="6" spans="23:32">
      <c r="W6" t="s">
        <v>184</v>
      </c>
      <c r="X6" t="s">
        <v>235</v>
      </c>
      <c r="Y6" t="s">
        <v>195</v>
      </c>
      <c r="Z6" t="s">
        <v>187</v>
      </c>
      <c r="AA6">
        <v>6653.326</v>
      </c>
      <c r="AB6" t="s">
        <v>188</v>
      </c>
      <c r="AC6">
        <v>50760.800000000003</v>
      </c>
      <c r="AD6" t="s">
        <v>189</v>
      </c>
      <c r="AE6">
        <v>629.9</v>
      </c>
      <c r="AF6" t="s">
        <v>244</v>
      </c>
    </row>
    <row r="7" spans="23:32">
      <c r="W7" t="s">
        <v>193</v>
      </c>
      <c r="X7" t="s">
        <v>194</v>
      </c>
      <c r="Y7" t="s">
        <v>195</v>
      </c>
      <c r="Z7" t="s">
        <v>196</v>
      </c>
      <c r="AA7">
        <v>5575.0010000000002</v>
      </c>
      <c r="AB7" t="s">
        <v>226</v>
      </c>
      <c r="AC7">
        <v>1361084.2</v>
      </c>
      <c r="AD7" t="s">
        <v>189</v>
      </c>
      <c r="AE7">
        <v>375.8</v>
      </c>
      <c r="AF7" t="s">
        <v>238</v>
      </c>
    </row>
    <row r="8" spans="23:32">
      <c r="W8" t="s">
        <v>193</v>
      </c>
      <c r="X8" t="s">
        <v>194</v>
      </c>
      <c r="Y8" t="s">
        <v>191</v>
      </c>
      <c r="Z8" t="s">
        <v>187</v>
      </c>
      <c r="AA8">
        <v>413.89400000000001</v>
      </c>
      <c r="AB8" t="s">
        <v>188</v>
      </c>
      <c r="AC8">
        <v>101048.3</v>
      </c>
      <c r="AD8" t="s">
        <v>189</v>
      </c>
      <c r="AE8">
        <v>9.8000000000000007</v>
      </c>
      <c r="AF8" t="s">
        <v>225</v>
      </c>
    </row>
    <row r="9" spans="23:32">
      <c r="W9" t="s">
        <v>184</v>
      </c>
      <c r="X9" t="s">
        <v>185</v>
      </c>
      <c r="Y9" t="s">
        <v>186</v>
      </c>
      <c r="Z9" t="s">
        <v>187</v>
      </c>
      <c r="AA9">
        <v>6614.8280000000004</v>
      </c>
      <c r="AB9" t="s">
        <v>188</v>
      </c>
      <c r="AC9">
        <v>6308.4</v>
      </c>
      <c r="AD9" t="s">
        <v>189</v>
      </c>
      <c r="AE9">
        <v>1266.3</v>
      </c>
      <c r="AF9" t="s">
        <v>198</v>
      </c>
    </row>
    <row r="10" spans="23:32">
      <c r="W10" t="s">
        <v>184</v>
      </c>
      <c r="X10" t="s">
        <v>235</v>
      </c>
      <c r="Y10" t="s">
        <v>195</v>
      </c>
      <c r="Z10" t="s">
        <v>187</v>
      </c>
      <c r="AA10">
        <v>6524.2820000000002</v>
      </c>
      <c r="AB10" t="s">
        <v>188</v>
      </c>
      <c r="AC10">
        <v>49776.3</v>
      </c>
      <c r="AD10" t="s">
        <v>189</v>
      </c>
      <c r="AE10">
        <v>642.29999999999995</v>
      </c>
      <c r="AF10" t="s">
        <v>192</v>
      </c>
    </row>
    <row r="11" spans="23:32">
      <c r="W11" t="s">
        <v>193</v>
      </c>
      <c r="X11" t="s">
        <v>194</v>
      </c>
      <c r="Y11" t="s">
        <v>195</v>
      </c>
      <c r="Z11" t="s">
        <v>196</v>
      </c>
      <c r="AA11">
        <v>3781.6770000000001</v>
      </c>
      <c r="AB11" t="s">
        <v>188</v>
      </c>
      <c r="AC11">
        <v>923261</v>
      </c>
      <c r="AD11" t="s">
        <v>189</v>
      </c>
      <c r="AE11">
        <v>554.1</v>
      </c>
      <c r="AF11" t="s">
        <v>190</v>
      </c>
    </row>
    <row r="12" spans="23:32" s="197" customFormat="1" ht="15.75" thickBot="1">
      <c r="W12" s="197" t="s">
        <v>193</v>
      </c>
      <c r="X12" s="197" t="s">
        <v>194</v>
      </c>
      <c r="Y12" s="197" t="s">
        <v>191</v>
      </c>
      <c r="Z12" s="197" t="s">
        <v>187</v>
      </c>
      <c r="AA12" s="197">
        <v>105.196</v>
      </c>
      <c r="AB12" s="197" t="s">
        <v>188</v>
      </c>
      <c r="AC12" s="197">
        <v>25682.6</v>
      </c>
      <c r="AD12" s="197" t="s">
        <v>189</v>
      </c>
      <c r="AE12" s="197">
        <v>38.799999999999997</v>
      </c>
      <c r="AF12" s="197" t="s">
        <v>197</v>
      </c>
    </row>
    <row r="13" spans="23:32">
      <c r="W13" t="s">
        <v>184</v>
      </c>
      <c r="X13" t="s">
        <v>185</v>
      </c>
      <c r="Y13" t="s">
        <v>186</v>
      </c>
      <c r="Z13" t="s">
        <v>187</v>
      </c>
      <c r="AA13">
        <v>6984.5630000000001</v>
      </c>
      <c r="AB13" t="s">
        <v>188</v>
      </c>
      <c r="AC13">
        <v>6661</v>
      </c>
      <c r="AD13" t="s">
        <v>189</v>
      </c>
      <c r="AE13">
        <v>1200.3</v>
      </c>
      <c r="AF13" t="s">
        <v>199</v>
      </c>
    </row>
    <row r="14" spans="23:32">
      <c r="W14" t="s">
        <v>184</v>
      </c>
      <c r="X14" t="s">
        <v>235</v>
      </c>
      <c r="Y14" t="s">
        <v>195</v>
      </c>
      <c r="Z14" t="s">
        <v>187</v>
      </c>
      <c r="AA14">
        <v>6980.9269999999997</v>
      </c>
      <c r="AB14" t="s">
        <v>188</v>
      </c>
      <c r="AC14">
        <v>53260.2</v>
      </c>
      <c r="AD14" t="s">
        <v>189</v>
      </c>
      <c r="AE14">
        <v>600.5</v>
      </c>
      <c r="AF14" t="s">
        <v>199</v>
      </c>
    </row>
    <row r="15" spans="23:32">
      <c r="W15" t="s">
        <v>193</v>
      </c>
      <c r="X15" t="s">
        <v>194</v>
      </c>
      <c r="Y15" t="s">
        <v>195</v>
      </c>
      <c r="Z15" t="s">
        <v>196</v>
      </c>
      <c r="AA15">
        <v>4999.8919999999998</v>
      </c>
      <c r="AB15" t="s">
        <v>226</v>
      </c>
      <c r="AC15">
        <v>1220676.8</v>
      </c>
      <c r="AD15" t="s">
        <v>189</v>
      </c>
      <c r="AE15">
        <v>419.1</v>
      </c>
      <c r="AF15" t="s">
        <v>200</v>
      </c>
    </row>
    <row r="16" spans="23:32">
      <c r="W16" t="s">
        <v>193</v>
      </c>
      <c r="X16" t="s">
        <v>194</v>
      </c>
      <c r="Y16" t="s">
        <v>191</v>
      </c>
      <c r="Z16" t="s">
        <v>187</v>
      </c>
      <c r="AA16">
        <v>97.39</v>
      </c>
      <c r="AB16" t="s">
        <v>188</v>
      </c>
      <c r="AC16">
        <v>23776.9</v>
      </c>
      <c r="AD16" t="s">
        <v>189</v>
      </c>
      <c r="AE16">
        <v>41.9</v>
      </c>
      <c r="AF16" t="s">
        <v>237</v>
      </c>
    </row>
    <row r="17" spans="23:32">
      <c r="W17" t="s">
        <v>184</v>
      </c>
      <c r="X17" t="s">
        <v>185</v>
      </c>
      <c r="Y17" t="s">
        <v>186</v>
      </c>
      <c r="Z17" t="s">
        <v>187</v>
      </c>
      <c r="AA17">
        <v>6655.625</v>
      </c>
      <c r="AB17" t="s">
        <v>188</v>
      </c>
      <c r="AC17">
        <v>6347.3</v>
      </c>
      <c r="AD17" t="s">
        <v>189</v>
      </c>
      <c r="AE17">
        <v>1258.5999999999999</v>
      </c>
      <c r="AF17" t="s">
        <v>244</v>
      </c>
    </row>
    <row r="18" spans="23:32">
      <c r="W18" t="s">
        <v>184</v>
      </c>
      <c r="X18" t="s">
        <v>235</v>
      </c>
      <c r="Y18" t="s">
        <v>195</v>
      </c>
      <c r="Z18" t="s">
        <v>187</v>
      </c>
      <c r="AA18">
        <v>6655.7780000000002</v>
      </c>
      <c r="AB18" t="s">
        <v>188</v>
      </c>
      <c r="AC18">
        <v>50779.6</v>
      </c>
      <c r="AD18" t="s">
        <v>189</v>
      </c>
      <c r="AE18">
        <v>629.6</v>
      </c>
      <c r="AF18" t="s">
        <v>238</v>
      </c>
    </row>
    <row r="19" spans="23:32">
      <c r="W19" t="s">
        <v>193</v>
      </c>
      <c r="X19" t="s">
        <v>194</v>
      </c>
      <c r="Y19" t="s">
        <v>195</v>
      </c>
      <c r="Z19" t="s">
        <v>196</v>
      </c>
      <c r="AA19">
        <v>5576.5259999999998</v>
      </c>
      <c r="AB19" t="s">
        <v>226</v>
      </c>
      <c r="AC19">
        <v>1361456.5</v>
      </c>
      <c r="AD19" t="s">
        <v>189</v>
      </c>
      <c r="AE19">
        <v>375.7</v>
      </c>
      <c r="AF19" t="s">
        <v>225</v>
      </c>
    </row>
    <row r="20" spans="23:32">
      <c r="W20" t="s">
        <v>193</v>
      </c>
      <c r="X20" t="s">
        <v>194</v>
      </c>
      <c r="Y20" t="s">
        <v>191</v>
      </c>
      <c r="Z20" t="s">
        <v>187</v>
      </c>
      <c r="AA20">
        <v>414.62</v>
      </c>
      <c r="AB20" t="s">
        <v>188</v>
      </c>
      <c r="AC20">
        <v>101225.60000000001</v>
      </c>
      <c r="AD20" t="s">
        <v>189</v>
      </c>
      <c r="AE20">
        <v>9.8000000000000007</v>
      </c>
      <c r="AF20" t="s">
        <v>244</v>
      </c>
    </row>
    <row r="21" spans="23:32">
      <c r="W21" t="s">
        <v>184</v>
      </c>
      <c r="X21" t="s">
        <v>185</v>
      </c>
      <c r="Y21" t="s">
        <v>186</v>
      </c>
      <c r="Z21" t="s">
        <v>187</v>
      </c>
      <c r="AA21">
        <v>6623.2330000000002</v>
      </c>
      <c r="AB21" t="s">
        <v>188</v>
      </c>
      <c r="AC21">
        <v>6316.4</v>
      </c>
      <c r="AD21" t="s">
        <v>189</v>
      </c>
      <c r="AE21">
        <v>1262.5</v>
      </c>
      <c r="AF21" t="s">
        <v>198</v>
      </c>
    </row>
    <row r="22" spans="23:32">
      <c r="W22" t="s">
        <v>184</v>
      </c>
      <c r="X22" t="s">
        <v>235</v>
      </c>
      <c r="Y22" t="s">
        <v>195</v>
      </c>
      <c r="Z22" t="s">
        <v>187</v>
      </c>
      <c r="AA22">
        <v>6490.4080000000004</v>
      </c>
      <c r="AB22" t="s">
        <v>188</v>
      </c>
      <c r="AC22">
        <v>49517.9</v>
      </c>
      <c r="AD22" t="s">
        <v>189</v>
      </c>
      <c r="AE22">
        <v>645.6</v>
      </c>
      <c r="AF22" t="s">
        <v>244</v>
      </c>
    </row>
    <row r="23" spans="23:32">
      <c r="W23" t="s">
        <v>193</v>
      </c>
      <c r="X23" t="s">
        <v>194</v>
      </c>
      <c r="Y23" t="s">
        <v>195</v>
      </c>
      <c r="Z23" t="s">
        <v>196</v>
      </c>
      <c r="AA23">
        <v>3784.9929999999999</v>
      </c>
      <c r="AB23" t="s">
        <v>188</v>
      </c>
      <c r="AC23">
        <v>924070.6</v>
      </c>
      <c r="AD23" t="s">
        <v>189</v>
      </c>
      <c r="AE23">
        <v>553.70000000000005</v>
      </c>
      <c r="AF23" t="s">
        <v>244</v>
      </c>
    </row>
    <row r="24" spans="23:32" s="197" customFormat="1" ht="15.75" thickBot="1">
      <c r="W24" s="197" t="s">
        <v>193</v>
      </c>
      <c r="X24" s="197" t="s">
        <v>194</v>
      </c>
      <c r="Y24" s="197" t="s">
        <v>191</v>
      </c>
      <c r="Z24" s="197" t="s">
        <v>187</v>
      </c>
      <c r="AA24" s="197">
        <v>105.48</v>
      </c>
      <c r="AB24" s="197" t="s">
        <v>188</v>
      </c>
      <c r="AC24" s="197">
        <v>25752</v>
      </c>
      <c r="AD24" s="197" t="s">
        <v>189</v>
      </c>
      <c r="AE24" s="197">
        <v>38.700000000000003</v>
      </c>
      <c r="AF24" s="197" t="s">
        <v>197</v>
      </c>
    </row>
    <row r="25" spans="23:32">
      <c r="W25" t="s">
        <v>184</v>
      </c>
      <c r="X25" t="s">
        <v>185</v>
      </c>
      <c r="Y25" t="s">
        <v>186</v>
      </c>
      <c r="Z25" t="s">
        <v>187</v>
      </c>
      <c r="AA25">
        <v>6983.6090000000004</v>
      </c>
      <c r="AB25" t="s">
        <v>188</v>
      </c>
      <c r="AC25">
        <v>6660.1</v>
      </c>
      <c r="AD25" t="s">
        <v>189</v>
      </c>
      <c r="AE25">
        <v>1200.5</v>
      </c>
      <c r="AF25" t="s">
        <v>198</v>
      </c>
    </row>
    <row r="26" spans="23:32">
      <c r="W26" t="s">
        <v>184</v>
      </c>
      <c r="X26" t="s">
        <v>235</v>
      </c>
      <c r="Y26" t="s">
        <v>195</v>
      </c>
      <c r="Z26" t="s">
        <v>187</v>
      </c>
      <c r="AA26">
        <v>6980.8559999999998</v>
      </c>
      <c r="AB26" t="s">
        <v>188</v>
      </c>
      <c r="AC26">
        <v>53259.7</v>
      </c>
      <c r="AD26" t="s">
        <v>189</v>
      </c>
      <c r="AE26">
        <v>600.5</v>
      </c>
      <c r="AF26" t="s">
        <v>237</v>
      </c>
    </row>
    <row r="27" spans="23:32">
      <c r="W27" t="s">
        <v>193</v>
      </c>
      <c r="X27" t="s">
        <v>194</v>
      </c>
      <c r="Y27" t="s">
        <v>195</v>
      </c>
      <c r="Z27" t="s">
        <v>196</v>
      </c>
      <c r="AA27">
        <v>4997.1570000000002</v>
      </c>
      <c r="AB27" t="s">
        <v>226</v>
      </c>
      <c r="AC27">
        <v>1220009</v>
      </c>
      <c r="AD27" t="s">
        <v>189</v>
      </c>
      <c r="AE27">
        <v>419.3</v>
      </c>
      <c r="AF27" t="s">
        <v>200</v>
      </c>
    </row>
    <row r="28" spans="23:32">
      <c r="W28" t="s">
        <v>193</v>
      </c>
      <c r="X28" t="s">
        <v>194</v>
      </c>
      <c r="Y28" t="s">
        <v>191</v>
      </c>
      <c r="Z28" t="s">
        <v>187</v>
      </c>
      <c r="AA28">
        <v>97.466999999999999</v>
      </c>
      <c r="AB28" t="s">
        <v>188</v>
      </c>
      <c r="AC28">
        <v>23795.7</v>
      </c>
      <c r="AD28" t="s">
        <v>189</v>
      </c>
      <c r="AE28">
        <v>41.9</v>
      </c>
      <c r="AF28" t="s">
        <v>192</v>
      </c>
    </row>
    <row r="29" spans="23:32">
      <c r="W29" t="s">
        <v>184</v>
      </c>
      <c r="X29" t="s">
        <v>185</v>
      </c>
      <c r="Y29" t="s">
        <v>186</v>
      </c>
      <c r="Z29" t="s">
        <v>187</v>
      </c>
      <c r="AA29">
        <v>6656.9960000000001</v>
      </c>
      <c r="AB29" t="s">
        <v>188</v>
      </c>
      <c r="AC29">
        <v>6348.6</v>
      </c>
      <c r="AD29" t="s">
        <v>189</v>
      </c>
      <c r="AE29">
        <v>1258.4000000000001</v>
      </c>
      <c r="AF29" t="s">
        <v>199</v>
      </c>
    </row>
    <row r="30" spans="23:32">
      <c r="W30" t="s">
        <v>184</v>
      </c>
      <c r="X30" t="s">
        <v>235</v>
      </c>
      <c r="Y30" t="s">
        <v>195</v>
      </c>
      <c r="Z30" t="s">
        <v>187</v>
      </c>
      <c r="AA30">
        <v>6651.1549999999997</v>
      </c>
      <c r="AB30" t="s">
        <v>188</v>
      </c>
      <c r="AC30">
        <v>50744.3</v>
      </c>
      <c r="AD30" t="s">
        <v>189</v>
      </c>
      <c r="AE30">
        <v>630.1</v>
      </c>
      <c r="AF30" t="s">
        <v>192</v>
      </c>
    </row>
    <row r="31" spans="23:32">
      <c r="W31" t="s">
        <v>193</v>
      </c>
      <c r="X31" t="s">
        <v>194</v>
      </c>
      <c r="Y31" t="s">
        <v>195</v>
      </c>
      <c r="Z31" t="s">
        <v>196</v>
      </c>
      <c r="AA31">
        <v>5571.5609999999997</v>
      </c>
      <c r="AB31" t="s">
        <v>226</v>
      </c>
      <c r="AC31">
        <v>1360244.4</v>
      </c>
      <c r="AD31" t="s">
        <v>189</v>
      </c>
      <c r="AE31">
        <v>375.9</v>
      </c>
      <c r="AF31" t="s">
        <v>190</v>
      </c>
    </row>
    <row r="32" spans="23:32">
      <c r="W32" t="s">
        <v>193</v>
      </c>
      <c r="X32" t="s">
        <v>194</v>
      </c>
      <c r="Y32" t="s">
        <v>191</v>
      </c>
      <c r="Z32" t="s">
        <v>187</v>
      </c>
      <c r="AA32">
        <v>414.48599999999999</v>
      </c>
      <c r="AB32" t="s">
        <v>188</v>
      </c>
      <c r="AC32">
        <v>101192.9</v>
      </c>
      <c r="AD32" t="s">
        <v>189</v>
      </c>
      <c r="AE32">
        <v>9.8000000000000007</v>
      </c>
      <c r="AF32" t="s">
        <v>244</v>
      </c>
    </row>
    <row r="33" spans="23:32">
      <c r="W33" t="s">
        <v>184</v>
      </c>
      <c r="X33" t="s">
        <v>185</v>
      </c>
      <c r="Y33" t="s">
        <v>186</v>
      </c>
      <c r="Z33" t="s">
        <v>187</v>
      </c>
      <c r="AA33">
        <v>6621.0410000000002</v>
      </c>
      <c r="AB33" t="s">
        <v>188</v>
      </c>
      <c r="AC33">
        <v>6314.3</v>
      </c>
      <c r="AD33" t="s">
        <v>189</v>
      </c>
      <c r="AE33">
        <v>1265.3</v>
      </c>
      <c r="AF33" t="s">
        <v>197</v>
      </c>
    </row>
    <row r="34" spans="23:32">
      <c r="W34" t="s">
        <v>184</v>
      </c>
      <c r="X34" t="s">
        <v>235</v>
      </c>
      <c r="Y34" t="s">
        <v>195</v>
      </c>
      <c r="Z34" t="s">
        <v>187</v>
      </c>
      <c r="AA34">
        <v>6498.1540000000005</v>
      </c>
      <c r="AB34" t="s">
        <v>188</v>
      </c>
      <c r="AC34">
        <v>49577</v>
      </c>
      <c r="AD34" t="s">
        <v>189</v>
      </c>
      <c r="AE34">
        <v>644.9</v>
      </c>
      <c r="AF34" t="s">
        <v>197</v>
      </c>
    </row>
    <row r="35" spans="23:32">
      <c r="W35" t="s">
        <v>193</v>
      </c>
      <c r="X35" t="s">
        <v>194</v>
      </c>
      <c r="Y35" t="s">
        <v>195</v>
      </c>
      <c r="Z35" t="s">
        <v>196</v>
      </c>
      <c r="AA35">
        <v>3781.7840000000001</v>
      </c>
      <c r="AB35" t="s">
        <v>188</v>
      </c>
      <c r="AC35">
        <v>923287.1</v>
      </c>
      <c r="AD35" t="s">
        <v>189</v>
      </c>
      <c r="AE35">
        <v>554.1</v>
      </c>
      <c r="AF35" t="s">
        <v>244</v>
      </c>
    </row>
    <row r="36" spans="23:32">
      <c r="W36" t="s">
        <v>193</v>
      </c>
      <c r="X36" t="s">
        <v>194</v>
      </c>
      <c r="Y36" t="s">
        <v>191</v>
      </c>
      <c r="Z36" t="s">
        <v>187</v>
      </c>
      <c r="AA36">
        <v>105.54300000000001</v>
      </c>
      <c r="AB36" t="s">
        <v>188</v>
      </c>
      <c r="AC36">
        <v>25767.3</v>
      </c>
      <c r="AD36" t="s">
        <v>189</v>
      </c>
      <c r="AE36">
        <v>38.700000000000003</v>
      </c>
      <c r="AF36" t="s">
        <v>198</v>
      </c>
    </row>
  </sheetData>
  <phoneticPr fontId="26" type="noConversion"/>
  <pageMargins left="0.7" right="0.7" top="0.75" bottom="0.75" header="0.3" footer="0.3"/>
  <pageSetup orientation="portrait" r:id="rId1"/>
  <drawing r:id="rId2"/>
</worksheet>
</file>

<file path=docMetadata/LabelInfo.xml><?xml version="1.0" encoding="utf-8"?>
<clbl:labelList xmlns:clbl="http://schemas.microsoft.com/office/2020/mipLabelMetadata">
  <clbl:label id="{b61c8803-16f3-4c35-9b17-6f65f441df86}" enabled="0" method="" siteId="{b61c8803-16f3-4c35-9b17-6f65f441df8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1Z_Performance</vt:lpstr>
      <vt:lpstr>1Z_Raw</vt:lpstr>
      <vt:lpstr>1Z_Reference</vt:lpstr>
      <vt:lpstr>BICS6_Performance</vt:lpstr>
      <vt:lpstr>BICS6_Raw</vt:lpstr>
      <vt:lpstr>BICS6_Reference</vt:lpstr>
      <vt:lpstr>CDM8 Raw</vt:lpstr>
      <vt:lpstr>CDM8 Ref</vt:lpstr>
    </vt:vector>
  </TitlesOfParts>
  <Company>SanDisk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SangMin Seok</dc:creator>
  <cp:lastModifiedBy>Young Choon Lee</cp:lastModifiedBy>
  <cp:lastPrinted>2016-01-19T05:54:23Z</cp:lastPrinted>
  <dcterms:created xsi:type="dcterms:W3CDTF">2014-01-10T08:33:05Z</dcterms:created>
  <dcterms:modified xsi:type="dcterms:W3CDTF">2024-05-27T06:26:48Z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